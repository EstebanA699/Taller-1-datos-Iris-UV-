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elev\OneDrive\Documentos\Tercer semestre\Procesamiento de datos\Talleres\Taller 1\"/>
    </mc:Choice>
  </mc:AlternateContent>
  <xr:revisionPtr revIDLastSave="0" documentId="13_ncr:1_{3AA36D3E-8109-4771-B439-6098340BF0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as de datos" sheetId="1" r:id="rId1"/>
    <sheet name="Estadisticas descriptivas" sheetId="4" r:id="rId2"/>
    <sheet name="Est.d Agrupadas" sheetId="6" state="hidden" r:id="rId3"/>
    <sheet name="Histogramas" sheetId="5" r:id="rId4"/>
    <sheet name="Cajas y bigotes" sheetId="7" r:id="rId5"/>
    <sheet name="Correlación" sheetId="8" r:id="rId6"/>
  </sheets>
  <externalReferences>
    <externalReference r:id="rId7"/>
    <externalReference r:id="rId8"/>
  </externalReferences>
  <definedNames>
    <definedName name="_xlnm._FilterDatabase" localSheetId="0" hidden="1">'Tablas de datos'!$B$3:$G$153</definedName>
    <definedName name="_xlchart.v1.0" hidden="1">Histogramas!$C$53:$C$102</definedName>
    <definedName name="_xlchart.v1.1" hidden="1">Histogramas!$F$53:$F$102</definedName>
    <definedName name="_xlchart.v1.10" hidden="1">Histogramas!$E$103:$E$152</definedName>
    <definedName name="_xlchart.v1.11" hidden="1">Histogramas!$F$103:$F$152</definedName>
    <definedName name="_xlchart.v1.12" hidden="1">Histogramas!$D$103:$D$152</definedName>
    <definedName name="_xlchart.v1.13" hidden="1">Histogramas!$C$103:$C$152</definedName>
    <definedName name="_xlchart.v1.14" hidden="1">Histogramas!$C$3:$C$152</definedName>
    <definedName name="_xlchart.v1.15" hidden="1">Histogramas!$D$3:$D$152</definedName>
    <definedName name="_xlchart.v1.16" hidden="1">'Tablas de datos'!$F$4:$F$153</definedName>
    <definedName name="_xlchart.v1.17" hidden="1">'Tablas de datos'!$G$4:$G$153</definedName>
    <definedName name="_xlchart.v1.18" hidden="1">'Tablas de datos'!$C$4:$C$153</definedName>
    <definedName name="_xlchart.v1.19" hidden="1">'Tablas de datos'!$G$4:$G$153</definedName>
    <definedName name="_xlchart.v1.2" hidden="1">Histogramas!$E$3:$E$52</definedName>
    <definedName name="_xlchart.v1.20" hidden="1">'Tablas de datos'!$E$4:$E$153</definedName>
    <definedName name="_xlchart.v1.21" hidden="1">'Tablas de datos'!$G$4:$G$153</definedName>
    <definedName name="_xlchart.v1.22" hidden="1">'Tablas de datos'!$D$4:$D$153</definedName>
    <definedName name="_xlchart.v1.23" hidden="1">'Tablas de datos'!$G$4:$G$153</definedName>
    <definedName name="_xlchart.v1.3" hidden="1">Histogramas!$D$53:$D$102</definedName>
    <definedName name="_xlchart.v1.4" hidden="1">Histogramas!$C$3:$C$52</definedName>
    <definedName name="_xlchart.v1.5" hidden="1">Histogramas!$D$3:$D$52</definedName>
    <definedName name="_xlchart.v1.6" hidden="1">Histogramas!$E$53:$E$102</definedName>
    <definedName name="_xlchart.v1.7" hidden="1">Histogramas!$F$3:$F$52</definedName>
    <definedName name="_xlchart.v1.8" hidden="1">Histogramas!$F$3:$F$152</definedName>
    <definedName name="_xlchart.v1.9" hidden="1">Histogramas!$E$3:$E$152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4" l="1"/>
  <c r="C65" i="4"/>
  <c r="C64" i="4"/>
  <c r="C63" i="4"/>
  <c r="C62" i="4"/>
  <c r="C61" i="4"/>
  <c r="C60" i="4"/>
  <c r="C59" i="4"/>
  <c r="C58" i="4"/>
  <c r="C57" i="4"/>
  <c r="C56" i="4"/>
  <c r="C55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C30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C6" i="4"/>
  <c r="C5" i="4"/>
  <c r="C4" i="4"/>
  <c r="C7" i="4" l="1"/>
  <c r="D5" i="4"/>
  <c r="D6" i="4"/>
  <c r="E5" i="4"/>
  <c r="D4" i="4"/>
  <c r="E4" i="4"/>
  <c r="E6" i="4"/>
  <c r="F6" i="4" l="1"/>
  <c r="F5" i="4"/>
  <c r="F4" i="4"/>
  <c r="AA57" i="6" l="1" a="1"/>
  <c r="AA69" i="6" s="1"/>
  <c r="Y69" i="6"/>
  <c r="Y68" i="6"/>
  <c r="Y57" i="6" a="1"/>
  <c r="Y67" i="6" s="1"/>
  <c r="W69" i="6"/>
  <c r="W68" i="6"/>
  <c r="W67" i="6"/>
  <c r="W66" i="6"/>
  <c r="W57" i="6" a="1"/>
  <c r="W65" i="6" s="1"/>
  <c r="U68" i="6"/>
  <c r="U67" i="6"/>
  <c r="U66" i="6"/>
  <c r="U65" i="6"/>
  <c r="U64" i="6"/>
  <c r="U57" i="6" a="1"/>
  <c r="U63" i="6" s="1"/>
  <c r="R68" i="6"/>
  <c r="R66" i="6"/>
  <c r="R65" i="6"/>
  <c r="R64" i="6"/>
  <c r="R63" i="6"/>
  <c r="R62" i="6"/>
  <c r="R57" i="6" a="1"/>
  <c r="R61" i="6" s="1"/>
  <c r="P66" i="6"/>
  <c r="P64" i="6"/>
  <c r="P63" i="6"/>
  <c r="P62" i="6"/>
  <c r="P61" i="6"/>
  <c r="P60" i="6"/>
  <c r="P57" i="6" a="1"/>
  <c r="P59" i="6" s="1"/>
  <c r="N68" i="6"/>
  <c r="N66" i="6"/>
  <c r="N64" i="6"/>
  <c r="N62" i="6"/>
  <c r="N61" i="6"/>
  <c r="N60" i="6"/>
  <c r="N59" i="6"/>
  <c r="N58" i="6"/>
  <c r="N57" i="6" a="1"/>
  <c r="N57" i="6" s="1"/>
  <c r="L57" i="6" a="1"/>
  <c r="L69" i="6" s="1"/>
  <c r="H57" i="6" a="1"/>
  <c r="I69" i="6" s="1"/>
  <c r="F57" i="6" a="1"/>
  <c r="F67" i="6" s="1"/>
  <c r="E67" i="6"/>
  <c r="D67" i="6"/>
  <c r="D66" i="6"/>
  <c r="E65" i="6"/>
  <c r="D65" i="6"/>
  <c r="D62" i="6"/>
  <c r="E59" i="6"/>
  <c r="D59" i="6"/>
  <c r="D58" i="6"/>
  <c r="E57" i="6"/>
  <c r="D57" i="6"/>
  <c r="D57" i="6" a="1"/>
  <c r="E64" i="6" s="1"/>
  <c r="B57" i="6" a="1"/>
  <c r="B62" i="6" s="1"/>
  <c r="Z56" i="6" a="1"/>
  <c r="Z65" i="6" s="1"/>
  <c r="X56" i="6" a="1"/>
  <c r="X64" i="6" s="1"/>
  <c r="V69" i="6"/>
  <c r="V68" i="6"/>
  <c r="V66" i="6"/>
  <c r="V65" i="6"/>
  <c r="V64" i="6"/>
  <c r="V58" i="6"/>
  <c r="V56" i="6" a="1"/>
  <c r="V63" i="6" s="1"/>
  <c r="T68" i="6"/>
  <c r="T67" i="6"/>
  <c r="T63" i="6"/>
  <c r="T56" i="6" a="1"/>
  <c r="T62" i="6" s="1"/>
  <c r="Q69" i="6"/>
  <c r="Q68" i="6"/>
  <c r="Q67" i="6"/>
  <c r="Q66" i="6"/>
  <c r="Q65" i="6"/>
  <c r="Q64" i="6"/>
  <c r="Q63" i="6"/>
  <c r="Q62" i="6"/>
  <c r="Q61" i="6"/>
  <c r="Q56" i="6"/>
  <c r="Q56" i="6" a="1"/>
  <c r="Q60" i="6" s="1"/>
  <c r="O56" i="6" a="1"/>
  <c r="O60" i="6" s="1"/>
  <c r="M68" i="6"/>
  <c r="M67" i="6"/>
  <c r="M66" i="6"/>
  <c r="M65" i="6"/>
  <c r="M64" i="6"/>
  <c r="M62" i="6"/>
  <c r="M61" i="6"/>
  <c r="M60" i="6"/>
  <c r="M56" i="6" a="1"/>
  <c r="M59" i="6" s="1"/>
  <c r="K56" i="6" a="1"/>
  <c r="K58" i="6" s="1"/>
  <c r="K59" i="6" l="1"/>
  <c r="X65" i="6"/>
  <c r="Z66" i="6"/>
  <c r="C62" i="6"/>
  <c r="G59" i="6"/>
  <c r="G67" i="6"/>
  <c r="K60" i="6"/>
  <c r="O62" i="6"/>
  <c r="T64" i="6"/>
  <c r="X66" i="6"/>
  <c r="Z67" i="6"/>
  <c r="B63" i="6"/>
  <c r="F60" i="6"/>
  <c r="F68" i="6"/>
  <c r="I62" i="6"/>
  <c r="L57" i="6"/>
  <c r="H62" i="6"/>
  <c r="K61" i="6"/>
  <c r="O63" i="6"/>
  <c r="T65" i="6"/>
  <c r="X67" i="6"/>
  <c r="Z68" i="6"/>
  <c r="C63" i="6"/>
  <c r="G68" i="6"/>
  <c r="H63" i="6"/>
  <c r="L58" i="6"/>
  <c r="G60" i="6"/>
  <c r="K62" i="6"/>
  <c r="M63" i="6"/>
  <c r="O64" i="6"/>
  <c r="T66" i="6"/>
  <c r="V67" i="6"/>
  <c r="X68" i="6"/>
  <c r="Z69" i="6"/>
  <c r="B64" i="6"/>
  <c r="E58" i="6"/>
  <c r="E66" i="6"/>
  <c r="F61" i="6"/>
  <c r="F69" i="6"/>
  <c r="I63" i="6"/>
  <c r="L59" i="6"/>
  <c r="AA57" i="6"/>
  <c r="C64" i="6"/>
  <c r="G61" i="6"/>
  <c r="G69" i="6"/>
  <c r="H64" i="6"/>
  <c r="L60" i="6"/>
  <c r="AA58" i="6"/>
  <c r="I64" i="6"/>
  <c r="L61" i="6"/>
  <c r="N63" i="6"/>
  <c r="P65" i="6"/>
  <c r="R67" i="6"/>
  <c r="U69" i="6"/>
  <c r="Y57" i="6"/>
  <c r="AA59" i="6"/>
  <c r="Z56" i="6"/>
  <c r="C57" i="6"/>
  <c r="C65" i="6"/>
  <c r="D60" i="6"/>
  <c r="D68" i="6"/>
  <c r="G62" i="6"/>
  <c r="H57" i="6"/>
  <c r="H65" i="6"/>
  <c r="L62" i="6"/>
  <c r="Y58" i="6"/>
  <c r="AA60" i="6"/>
  <c r="O61" i="6"/>
  <c r="O65" i="6"/>
  <c r="B65" i="6"/>
  <c r="K66" i="6"/>
  <c r="O68" i="6"/>
  <c r="X56" i="6"/>
  <c r="Z57" i="6"/>
  <c r="B58" i="6"/>
  <c r="B66" i="6"/>
  <c r="E60" i="6"/>
  <c r="E68" i="6"/>
  <c r="F63" i="6"/>
  <c r="I57" i="6"/>
  <c r="I65" i="6"/>
  <c r="L63" i="6"/>
  <c r="N65" i="6"/>
  <c r="P67" i="6"/>
  <c r="R69" i="6"/>
  <c r="W57" i="6"/>
  <c r="Y59" i="6"/>
  <c r="AA61" i="6"/>
  <c r="V56" i="6"/>
  <c r="X57" i="6"/>
  <c r="Z58" i="6"/>
  <c r="C58" i="6"/>
  <c r="C66" i="6"/>
  <c r="D61" i="6"/>
  <c r="D69" i="6"/>
  <c r="G63" i="6"/>
  <c r="H58" i="6"/>
  <c r="H66" i="6"/>
  <c r="L64" i="6"/>
  <c r="P68" i="6"/>
  <c r="W58" i="6"/>
  <c r="Y60" i="6"/>
  <c r="AA62" i="6"/>
  <c r="K63" i="6"/>
  <c r="X69" i="6"/>
  <c r="K64" i="6"/>
  <c r="O66" i="6"/>
  <c r="K65" i="6"/>
  <c r="O67" i="6"/>
  <c r="T69" i="6"/>
  <c r="K67" i="6"/>
  <c r="O69" i="6"/>
  <c r="K68" i="6"/>
  <c r="M69" i="6"/>
  <c r="T56" i="6"/>
  <c r="V57" i="6"/>
  <c r="X58" i="6"/>
  <c r="Z59" i="6"/>
  <c r="B59" i="6"/>
  <c r="B67" i="6"/>
  <c r="E61" i="6"/>
  <c r="E69" i="6"/>
  <c r="F64" i="6"/>
  <c r="I58" i="6"/>
  <c r="I66" i="6"/>
  <c r="L65" i="6"/>
  <c r="N67" i="6"/>
  <c r="P69" i="6"/>
  <c r="U57" i="6"/>
  <c r="W59" i="6"/>
  <c r="Y61" i="6"/>
  <c r="AA63" i="6"/>
  <c r="G64" i="6"/>
  <c r="H59" i="6"/>
  <c r="H67" i="6"/>
  <c r="L66" i="6"/>
  <c r="U58" i="6"/>
  <c r="W60" i="6"/>
  <c r="Y62" i="6"/>
  <c r="AA64" i="6"/>
  <c r="T57" i="6"/>
  <c r="X59" i="6"/>
  <c r="O56" i="6"/>
  <c r="Q57" i="6"/>
  <c r="T58" i="6"/>
  <c r="V59" i="6"/>
  <c r="X60" i="6"/>
  <c r="Z61" i="6"/>
  <c r="B60" i="6"/>
  <c r="B68" i="6"/>
  <c r="E62" i="6"/>
  <c r="F57" i="6"/>
  <c r="F65" i="6"/>
  <c r="I59" i="6"/>
  <c r="I67" i="6"/>
  <c r="L67" i="6"/>
  <c r="N69" i="6"/>
  <c r="R57" i="6"/>
  <c r="U59" i="6"/>
  <c r="W61" i="6"/>
  <c r="Y63" i="6"/>
  <c r="AA65" i="6"/>
  <c r="M56" i="6"/>
  <c r="O57" i="6"/>
  <c r="Q58" i="6"/>
  <c r="T59" i="6"/>
  <c r="V60" i="6"/>
  <c r="X61" i="6"/>
  <c r="Z62" i="6"/>
  <c r="C60" i="6"/>
  <c r="C68" i="6"/>
  <c r="D63" i="6"/>
  <c r="G57" i="6"/>
  <c r="G65" i="6"/>
  <c r="H60" i="6"/>
  <c r="H68" i="6"/>
  <c r="L68" i="6"/>
  <c r="R58" i="6"/>
  <c r="U60" i="6"/>
  <c r="W62" i="6"/>
  <c r="Y64" i="6"/>
  <c r="AA66" i="6"/>
  <c r="C59" i="6"/>
  <c r="K56" i="6"/>
  <c r="M57" i="6"/>
  <c r="O58" i="6"/>
  <c r="Q59" i="6"/>
  <c r="T60" i="6"/>
  <c r="V61" i="6"/>
  <c r="X62" i="6"/>
  <c r="Z63" i="6"/>
  <c r="B61" i="6"/>
  <c r="B69" i="6"/>
  <c r="E63" i="6"/>
  <c r="F58" i="6"/>
  <c r="F66" i="6"/>
  <c r="I60" i="6"/>
  <c r="I68" i="6"/>
  <c r="P57" i="6"/>
  <c r="R59" i="6"/>
  <c r="U61" i="6"/>
  <c r="W63" i="6"/>
  <c r="Y65" i="6"/>
  <c r="AA67" i="6"/>
  <c r="F62" i="6"/>
  <c r="Z60" i="6"/>
  <c r="K57" i="6"/>
  <c r="M58" i="6"/>
  <c r="O59" i="6"/>
  <c r="T61" i="6"/>
  <c r="V62" i="6"/>
  <c r="X63" i="6"/>
  <c r="Z64" i="6"/>
  <c r="C61" i="6"/>
  <c r="C69" i="6"/>
  <c r="D64" i="6"/>
  <c r="G58" i="6"/>
  <c r="G66" i="6"/>
  <c r="H61" i="6"/>
  <c r="H69" i="6"/>
  <c r="P58" i="6"/>
  <c r="R60" i="6"/>
  <c r="U62" i="6"/>
  <c r="W64" i="6"/>
  <c r="Y66" i="6"/>
  <c r="AA68" i="6"/>
  <c r="B57" i="6"/>
  <c r="K69" i="6"/>
  <c r="C67" i="6"/>
  <c r="F59" i="6"/>
  <c r="I61" i="6"/>
</calcChain>
</file>

<file path=xl/sharedStrings.xml><?xml version="1.0" encoding="utf-8"?>
<sst xmlns="http://schemas.openxmlformats.org/spreadsheetml/2006/main" count="1004" uniqueCount="32">
  <si>
    <t>Sepal.Length</t>
  </si>
  <si>
    <t>Sepal.Width</t>
  </si>
  <si>
    <t>Petal.Length</t>
  </si>
  <si>
    <t>Petal.Width</t>
  </si>
  <si>
    <t>Species</t>
  </si>
  <si>
    <t>Distribución</t>
  </si>
  <si>
    <t>setosa</t>
  </si>
  <si>
    <t>Especie</t>
  </si>
  <si>
    <t>n</t>
  </si>
  <si>
    <t>f</t>
  </si>
  <si>
    <t>N</t>
  </si>
  <si>
    <t>H</t>
  </si>
  <si>
    <t>versicolor</t>
  </si>
  <si>
    <t>virginica</t>
  </si>
  <si>
    <t>total</t>
  </si>
  <si>
    <t>Promedios</t>
  </si>
  <si>
    <t>global</t>
  </si>
  <si>
    <t>Medianas</t>
  </si>
  <si>
    <t>Máximos</t>
  </si>
  <si>
    <t>Mínimos</t>
  </si>
  <si>
    <t>Desviación estándar</t>
  </si>
  <si>
    <t>Variable/Especie</t>
  </si>
  <si>
    <t>Percentil</t>
  </si>
  <si>
    <t>Intervalo</t>
  </si>
  <si>
    <t>Setosa</t>
  </si>
  <si>
    <t>Versicolor</t>
  </si>
  <si>
    <t>Conteo</t>
  </si>
  <si>
    <t>ID</t>
  </si>
  <si>
    <t>Virginica</t>
  </si>
  <si>
    <t>Global</t>
  </si>
  <si>
    <t>Cuartiles</t>
  </si>
  <si>
    <t>Cuartiles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</si>
</sst>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3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2" borderId="0" applyFont="0" applyFill="0" applyBorder="0"/>
    <xf numFmtId="0" fontId="2" fillId="3" borderId="1" applyNumberFormat="0"/>
  </cellStyleXfs>
  <cellXfs count="93">
    <xf numFmtId="0" fontId="0" fillId="0" borderId="0" xfId="0"/>
    <xf numFmtId="0" fontId="0" fillId="0" borderId="2" xfId="0" applyBorder="1" applyAlignment="1">
      <alignment vertical="center"/>
    </xf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9" xfId="0" applyBorder="1"/>
    <xf numFmtId="9" fontId="0" fillId="0" borderId="9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0" fillId="0" borderId="2" xfId="0" applyBorder="1"/>
    <xf numFmtId="9" fontId="0" fillId="0" borderId="13" xfId="0" applyNumberFormat="1" applyBorder="1"/>
    <xf numFmtId="9" fontId="0" fillId="0" borderId="11" xfId="0" applyNumberFormat="1" applyBorder="1"/>
    <xf numFmtId="9" fontId="0" fillId="0" borderId="12" xfId="0" applyNumberFormat="1" applyBorder="1"/>
    <xf numFmtId="0" fontId="0" fillId="0" borderId="0" xfId="0"/>
    <xf numFmtId="2" fontId="0" fillId="0" borderId="0" xfId="0" applyNumberFormat="1"/>
    <xf numFmtId="0" fontId="2" fillId="3" borderId="1" xfId="2" applyFont="1" applyFill="1" applyBorder="1"/>
    <xf numFmtId="0" fontId="0" fillId="0" borderId="19" xfId="0" applyBorder="1"/>
    <xf numFmtId="0" fontId="0" fillId="0" borderId="17" xfId="0" applyBorder="1"/>
    <xf numFmtId="0" fontId="0" fillId="0" borderId="10" xfId="0" applyBorder="1"/>
    <xf numFmtId="0" fontId="0" fillId="0" borderId="0" xfId="0"/>
    <xf numFmtId="0" fontId="0" fillId="0" borderId="8" xfId="0" applyBorder="1"/>
    <xf numFmtId="0" fontId="0" fillId="0" borderId="3" xfId="0" applyBorder="1"/>
    <xf numFmtId="0" fontId="0" fillId="0" borderId="10" xfId="0" applyBorder="1" applyAlignment="1">
      <alignment vertical="center"/>
    </xf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4" borderId="6" xfId="0" applyFill="1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7" xfId="0" applyFill="1" applyBorder="1"/>
    <xf numFmtId="0" fontId="0" fillId="8" borderId="19" xfId="0" applyFill="1" applyBorder="1"/>
    <xf numFmtId="0" fontId="0" fillId="9" borderId="7" xfId="0" applyFill="1" applyBorder="1"/>
    <xf numFmtId="0" fontId="0" fillId="9" borderId="19" xfId="0" applyFill="1" applyBorder="1"/>
    <xf numFmtId="0" fontId="0" fillId="0" borderId="2" xfId="0" applyBorder="1" applyAlignment="1">
      <alignment horizontal="right" vertical="center"/>
    </xf>
    <xf numFmtId="9" fontId="0" fillId="2" borderId="8" xfId="1" applyFont="1" applyFill="1" applyBorder="1"/>
    <xf numFmtId="9" fontId="0" fillId="2" borderId="9" xfId="1" applyFont="1" applyFill="1" applyBorder="1"/>
    <xf numFmtId="0" fontId="4" fillId="0" borderId="21" xfId="0" applyFont="1" applyFill="1" applyBorder="1" applyAlignment="1">
      <alignment horizontal="center"/>
    </xf>
    <xf numFmtId="0" fontId="0" fillId="0" borderId="21" xfId="0" applyFill="1" applyBorder="1" applyAlignment="1"/>
    <xf numFmtId="0" fontId="1" fillId="8" borderId="7" xfId="0" applyFont="1" applyFill="1" applyBorder="1"/>
    <xf numFmtId="0" fontId="0" fillId="0" borderId="21" xfId="0" applyBorder="1"/>
    <xf numFmtId="9" fontId="0" fillId="0" borderId="21" xfId="0" applyNumberFormat="1" applyBorder="1"/>
    <xf numFmtId="2" fontId="0" fillId="0" borderId="21" xfId="0" applyNumberFormat="1" applyBorder="1"/>
    <xf numFmtId="9" fontId="0" fillId="0" borderId="23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23" xfId="0" applyFill="1" applyBorder="1" applyAlignment="1">
      <alignment horizontal="center"/>
    </xf>
  </cellXfs>
  <cellStyles count="3"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Promedios mediciones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'Estadisticas descriptivas'!$C$11</c:f>
              <c:strCache>
                <c:ptCount val="1"/>
                <c:pt idx="0">
                  <c:v>Sepal.Length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descriptivas'!$C$12:$C$15</c:f>
              <c:numCache>
                <c:formatCode>0.00</c:formatCode>
                <c:ptCount val="4"/>
                <c:pt idx="0">
                  <c:v>5.0059999999999993</c:v>
                </c:pt>
                <c:pt idx="1">
                  <c:v>5.9359999999999999</c:v>
                </c:pt>
                <c:pt idx="2">
                  <c:v>6.5879999999999983</c:v>
                </c:pt>
                <c:pt idx="3">
                  <c:v>5.8433333333333346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D1-4636-AE37-1181FE7AA379}"/>
            </c:ext>
          </c:extLst>
        </c:ser>
        <c:ser>
          <c:idx val="1"/>
          <c:order val="1"/>
          <c:tx>
            <c:strRef>
              <c:f>'Estadisticas descriptivas'!$D$11</c:f>
              <c:strCache>
                <c:ptCount val="1"/>
                <c:pt idx="0">
                  <c:v>Sepal.Width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descriptivas'!$D$12:$D$15</c:f>
              <c:numCache>
                <c:formatCode>0.00</c:formatCode>
                <c:ptCount val="4"/>
                <c:pt idx="0">
                  <c:v>3.4280000000000008</c:v>
                </c:pt>
                <c:pt idx="1">
                  <c:v>2.7700000000000005</c:v>
                </c:pt>
                <c:pt idx="2">
                  <c:v>2.9739999999999998</c:v>
                </c:pt>
                <c:pt idx="3">
                  <c:v>3.0573333333333341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1D1-4636-AE37-1181FE7AA379}"/>
            </c:ext>
          </c:extLst>
        </c:ser>
        <c:ser>
          <c:idx val="2"/>
          <c:order val="2"/>
          <c:tx>
            <c:strRef>
              <c:f>'Estadisticas descriptivas'!$E$11</c:f>
              <c:strCache>
                <c:ptCount val="1"/>
                <c:pt idx="0">
                  <c:v>Petal.Length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descriptivas'!$E$12:$E$15</c:f>
              <c:numCache>
                <c:formatCode>0.00</c:formatCode>
                <c:ptCount val="4"/>
                <c:pt idx="0">
                  <c:v>1.4620000000000002</c:v>
                </c:pt>
                <c:pt idx="1">
                  <c:v>4.26</c:v>
                </c:pt>
                <c:pt idx="2">
                  <c:v>5.5519999999999996</c:v>
                </c:pt>
                <c:pt idx="3">
                  <c:v>3.7580000000000027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1D1-4636-AE37-1181FE7AA379}"/>
            </c:ext>
          </c:extLst>
        </c:ser>
        <c:ser>
          <c:idx val="3"/>
          <c:order val="3"/>
          <c:tx>
            <c:strRef>
              <c:f>'Estadisticas descriptivas'!$F$11</c:f>
              <c:strCache>
                <c:ptCount val="1"/>
                <c:pt idx="0">
                  <c:v>Petal.Width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descriptivas'!$F$12:$F$15</c:f>
              <c:numCache>
                <c:formatCode>0.00</c:formatCode>
                <c:ptCount val="4"/>
                <c:pt idx="0">
                  <c:v>0.24599999999999991</c:v>
                </c:pt>
                <c:pt idx="1">
                  <c:v>1.3259999999999998</c:v>
                </c:pt>
                <c:pt idx="2">
                  <c:v>2.0259999999999998</c:v>
                </c:pt>
                <c:pt idx="3">
                  <c:v>1.199333333333334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1D1-4636-AE37-1181FE7AA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6"/>
        <c:axId val="2140841519"/>
        <c:axId val="2140841520"/>
      </c:barChart>
      <c:catAx>
        <c:axId val="21408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20"/>
        <c:crosses val="autoZero"/>
        <c:auto val="1"/>
        <c:lblAlgn val="ctr"/>
        <c:lblOffset val="100"/>
        <c:noMultiLvlLbl val="0"/>
      </c:catAx>
      <c:valAx>
        <c:axId val="214084152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19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352424"/>
      <a:ext cx="4552949" cy="30860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Máximos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'Estadisticas descriptivas'!$C$23</c:f>
              <c:strCache>
                <c:ptCount val="1"/>
                <c:pt idx="0">
                  <c:v>Sepal.Length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descriptivas'!$C$24:$C$27</c:f>
              <c:numCache>
                <c:formatCode>0.00</c:formatCode>
                <c:ptCount val="4"/>
                <c:pt idx="0">
                  <c:v>5.8</c:v>
                </c:pt>
                <c:pt idx="1">
                  <c:v>7</c:v>
                </c:pt>
                <c:pt idx="2">
                  <c:v>7.9</c:v>
                </c:pt>
                <c:pt idx="3">
                  <c:v>7.9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15-4691-833B-24F8AE45BE54}"/>
            </c:ext>
          </c:extLst>
        </c:ser>
        <c:ser>
          <c:idx val="1"/>
          <c:order val="1"/>
          <c:tx>
            <c:strRef>
              <c:f>'Estadisticas descriptivas'!$D$23</c:f>
              <c:strCache>
                <c:ptCount val="1"/>
                <c:pt idx="0">
                  <c:v>Sepal.Width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descriptivas'!$D$24:$D$27</c:f>
              <c:numCache>
                <c:formatCode>0.00</c:formatCode>
                <c:ptCount val="4"/>
                <c:pt idx="0">
                  <c:v>4.4000000000000004</c:v>
                </c:pt>
                <c:pt idx="1">
                  <c:v>3.4</c:v>
                </c:pt>
                <c:pt idx="2">
                  <c:v>3.8</c:v>
                </c:pt>
                <c:pt idx="3">
                  <c:v>4.4000000000000004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15-4691-833B-24F8AE45BE54}"/>
            </c:ext>
          </c:extLst>
        </c:ser>
        <c:ser>
          <c:idx val="2"/>
          <c:order val="2"/>
          <c:tx>
            <c:strRef>
              <c:f>'Estadisticas descriptivas'!$E$23</c:f>
              <c:strCache>
                <c:ptCount val="1"/>
                <c:pt idx="0">
                  <c:v>Petal.Length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descriptivas'!$E$24:$E$27</c:f>
              <c:numCache>
                <c:formatCode>0.00</c:formatCode>
                <c:ptCount val="4"/>
                <c:pt idx="0">
                  <c:v>1.9</c:v>
                </c:pt>
                <c:pt idx="1">
                  <c:v>5.0999999999999996</c:v>
                </c:pt>
                <c:pt idx="2">
                  <c:v>6.9</c:v>
                </c:pt>
                <c:pt idx="3">
                  <c:v>6.9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515-4691-833B-24F8AE45BE54}"/>
            </c:ext>
          </c:extLst>
        </c:ser>
        <c:ser>
          <c:idx val="3"/>
          <c:order val="3"/>
          <c:tx>
            <c:strRef>
              <c:f>'Estadisticas descriptivas'!$F$23</c:f>
              <c:strCache>
                <c:ptCount val="1"/>
                <c:pt idx="0">
                  <c:v>Petal.Width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descriptivas'!$F$24:$F$27</c:f>
              <c:numCache>
                <c:formatCode>0.00</c:formatCode>
                <c:ptCount val="4"/>
                <c:pt idx="0">
                  <c:v>0.6</c:v>
                </c:pt>
                <c:pt idx="1">
                  <c:v>1.8</c:v>
                </c:pt>
                <c:pt idx="2">
                  <c:v>2.5</c:v>
                </c:pt>
                <c:pt idx="3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515-4691-833B-24F8AE45B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6"/>
        <c:axId val="2140841587"/>
        <c:axId val="2140841588"/>
      </c:barChart>
      <c:catAx>
        <c:axId val="2140841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88"/>
        <c:crosses val="autoZero"/>
        <c:auto val="1"/>
        <c:lblAlgn val="ctr"/>
        <c:lblOffset val="100"/>
        <c:noMultiLvlLbl val="0"/>
      </c:catAx>
      <c:valAx>
        <c:axId val="214084158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8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3638549"/>
      <a:ext cx="4552949" cy="28765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Mínimos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'Estadisticas descriptivas'!$C$29</c:f>
              <c:strCache>
                <c:ptCount val="1"/>
                <c:pt idx="0">
                  <c:v>Sepal.Length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descriptivas'!$C$30:$C$33</c:f>
              <c:numCache>
                <c:formatCode>0.00</c:formatCode>
                <c:ptCount val="4"/>
                <c:pt idx="0">
                  <c:v>4.3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4E-4CF5-8C66-CFBF64EEF567}"/>
            </c:ext>
          </c:extLst>
        </c:ser>
        <c:ser>
          <c:idx val="1"/>
          <c:order val="1"/>
          <c:tx>
            <c:strRef>
              <c:f>'Estadisticas descriptivas'!$D$29</c:f>
              <c:strCache>
                <c:ptCount val="1"/>
                <c:pt idx="0">
                  <c:v>Sepal.Width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descriptivas'!$D$30:$D$33</c:f>
              <c:numCache>
                <c:formatCode>0.00</c:formatCode>
                <c:ptCount val="4"/>
                <c:pt idx="0">
                  <c:v>2.2999999999999998</c:v>
                </c:pt>
                <c:pt idx="1">
                  <c:v>2</c:v>
                </c:pt>
                <c:pt idx="2">
                  <c:v>2.2000000000000002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4E-4CF5-8C66-CFBF64EEF567}"/>
            </c:ext>
          </c:extLst>
        </c:ser>
        <c:ser>
          <c:idx val="2"/>
          <c:order val="2"/>
          <c:tx>
            <c:strRef>
              <c:f>'Estadisticas descriptivas'!$E$29</c:f>
              <c:strCache>
                <c:ptCount val="1"/>
                <c:pt idx="0">
                  <c:v>Petal.Length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descriptivas'!$E$30:$E$33</c:f>
              <c:numCache>
                <c:formatCode>0.00</c:formatCode>
                <c:ptCount val="4"/>
                <c:pt idx="0">
                  <c:v>1</c:v>
                </c:pt>
                <c:pt idx="1">
                  <c:v>3</c:v>
                </c:pt>
                <c:pt idx="2">
                  <c:v>4.5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A4E-4CF5-8C66-CFBF64EEF567}"/>
            </c:ext>
          </c:extLst>
        </c:ser>
        <c:ser>
          <c:idx val="3"/>
          <c:order val="3"/>
          <c:tx>
            <c:strRef>
              <c:f>'Estadisticas descriptivas'!$F$29</c:f>
              <c:strCache>
                <c:ptCount val="1"/>
                <c:pt idx="0">
                  <c:v>Petal.Width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'Estadisticas descriptivas'!$F$30:$F$33</c:f>
              <c:numCache>
                <c:formatCode>0.00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1.4</c:v>
                </c:pt>
                <c:pt idx="3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A4E-4CF5-8C66-CFBF64EEF5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6"/>
        <c:axId val="2140841621"/>
        <c:axId val="2140841622"/>
      </c:barChart>
      <c:catAx>
        <c:axId val="2140841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622"/>
        <c:crosses val="autoZero"/>
        <c:auto val="1"/>
        <c:lblAlgn val="ctr"/>
        <c:lblOffset val="100"/>
        <c:noMultiLvlLbl val="0"/>
      </c:catAx>
      <c:valAx>
        <c:axId val="214084162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62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6686548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Distribución de especies de plantas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'Estadisticas descriptivas'!$D$3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771-4975-AEAD-84BCE478393E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771-4975-AEAD-84BCE478393E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771-4975-AEAD-84BCE478393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71-4975-AEAD-84BCE478393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71-4975-AEAD-84BCE478393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71-4975-AEAD-84BCE478393E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'Estadisticas descriptivas'!$B$4:$B$6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'Estadisticas descriptivas'!$D$4:$D$6</c:f>
              <c:numCache>
                <c:formatCode>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71-4975-AEAD-84BCE47839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95916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Promedios mediciones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'[1]Estadisticas descriptivas'!$C$11</c:f>
              <c:strCache>
                <c:ptCount val="1"/>
                <c:pt idx="0">
                  <c:v>Sepal.Length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descriptivas'!$C$12:$C$15</c:f>
              <c:numCache>
                <c:formatCode>General</c:formatCode>
                <c:ptCount val="4"/>
                <c:pt idx="0">
                  <c:v>5.0059999999999993</c:v>
                </c:pt>
                <c:pt idx="1">
                  <c:v>5.9359999999999999</c:v>
                </c:pt>
                <c:pt idx="2">
                  <c:v>6.5879999999999983</c:v>
                </c:pt>
                <c:pt idx="3">
                  <c:v>5.8433333333333346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8-40F7-8E18-550C09A99A78}"/>
            </c:ext>
          </c:extLst>
        </c:ser>
        <c:ser>
          <c:idx val="1"/>
          <c:order val="1"/>
          <c:tx>
            <c:strRef>
              <c:f>'[1]Estadisticas descriptivas'!$D$11</c:f>
              <c:strCache>
                <c:ptCount val="1"/>
                <c:pt idx="0">
                  <c:v>Sepal.Width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descriptivas'!$D$12:$D$15</c:f>
              <c:numCache>
                <c:formatCode>General</c:formatCode>
                <c:ptCount val="4"/>
                <c:pt idx="0">
                  <c:v>3.4280000000000008</c:v>
                </c:pt>
                <c:pt idx="1">
                  <c:v>2.7700000000000005</c:v>
                </c:pt>
                <c:pt idx="2">
                  <c:v>2.9739999999999998</c:v>
                </c:pt>
                <c:pt idx="3">
                  <c:v>3.0573333333333341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8-40F7-8E18-550C09A99A78}"/>
            </c:ext>
          </c:extLst>
        </c:ser>
        <c:ser>
          <c:idx val="2"/>
          <c:order val="2"/>
          <c:tx>
            <c:strRef>
              <c:f>'[1]Estadisticas descriptivas'!$E$11</c:f>
              <c:strCache>
                <c:ptCount val="1"/>
                <c:pt idx="0">
                  <c:v>Petal.Length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descriptivas'!$E$12:$E$15</c:f>
              <c:numCache>
                <c:formatCode>General</c:formatCode>
                <c:ptCount val="4"/>
                <c:pt idx="0">
                  <c:v>1.4620000000000002</c:v>
                </c:pt>
                <c:pt idx="1">
                  <c:v>4.26</c:v>
                </c:pt>
                <c:pt idx="2">
                  <c:v>5.5519999999999996</c:v>
                </c:pt>
                <c:pt idx="3">
                  <c:v>3.7580000000000027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8-40F7-8E18-550C09A99A78}"/>
            </c:ext>
          </c:extLst>
        </c:ser>
        <c:ser>
          <c:idx val="3"/>
          <c:order val="3"/>
          <c:tx>
            <c:strRef>
              <c:f>'[1]Estadisticas descriptivas'!$F$11</c:f>
              <c:strCache>
                <c:ptCount val="1"/>
                <c:pt idx="0">
                  <c:v>Petal.Width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descriptivas'!$B$12:$B$15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descriptivas'!$F$12:$F$15</c:f>
              <c:numCache>
                <c:formatCode>General</c:formatCode>
                <c:ptCount val="4"/>
                <c:pt idx="0">
                  <c:v>0.24599999999999991</c:v>
                </c:pt>
                <c:pt idx="1">
                  <c:v>1.3259999999999998</c:v>
                </c:pt>
                <c:pt idx="2">
                  <c:v>2.0259999999999998</c:v>
                </c:pt>
                <c:pt idx="3">
                  <c:v>1.199333333333334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8-40F7-8E18-550C09A99A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6"/>
        <c:axId val="2140841519"/>
        <c:axId val="2140841520"/>
      </c:barChart>
      <c:catAx>
        <c:axId val="21408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20"/>
        <c:crosses val="autoZero"/>
        <c:auto val="1"/>
        <c:lblAlgn val="ctr"/>
        <c:lblOffset val="100"/>
        <c:noMultiLvlLbl val="0"/>
      </c:catAx>
      <c:valAx>
        <c:axId val="214084152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19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352424"/>
      <a:ext cx="4552949" cy="30860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Máximos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'[1]Estadisticas descriptivas'!$C$23</c:f>
              <c:strCache>
                <c:ptCount val="1"/>
                <c:pt idx="0">
                  <c:v>Sepal.Length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descriptivas'!$C$24:$C$27</c:f>
              <c:numCache>
                <c:formatCode>General</c:formatCode>
                <c:ptCount val="4"/>
                <c:pt idx="0">
                  <c:v>5.8</c:v>
                </c:pt>
                <c:pt idx="1">
                  <c:v>7</c:v>
                </c:pt>
                <c:pt idx="2">
                  <c:v>7.9</c:v>
                </c:pt>
                <c:pt idx="3">
                  <c:v>7.9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15-4820-9382-19DD407C08D0}"/>
            </c:ext>
          </c:extLst>
        </c:ser>
        <c:ser>
          <c:idx val="1"/>
          <c:order val="1"/>
          <c:tx>
            <c:strRef>
              <c:f>'[1]Estadisticas descriptivas'!$D$23</c:f>
              <c:strCache>
                <c:ptCount val="1"/>
                <c:pt idx="0">
                  <c:v>Sepal.Width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descriptivas'!$D$24:$D$27</c:f>
              <c:numCache>
                <c:formatCode>General</c:formatCode>
                <c:ptCount val="4"/>
                <c:pt idx="0">
                  <c:v>4.4000000000000004</c:v>
                </c:pt>
                <c:pt idx="1">
                  <c:v>3.4</c:v>
                </c:pt>
                <c:pt idx="2">
                  <c:v>3.8</c:v>
                </c:pt>
                <c:pt idx="3">
                  <c:v>4.4000000000000004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715-4820-9382-19DD407C08D0}"/>
            </c:ext>
          </c:extLst>
        </c:ser>
        <c:ser>
          <c:idx val="2"/>
          <c:order val="2"/>
          <c:tx>
            <c:strRef>
              <c:f>'[1]Estadisticas descriptivas'!$E$23</c:f>
              <c:strCache>
                <c:ptCount val="1"/>
                <c:pt idx="0">
                  <c:v>Petal.Length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descriptivas'!$E$24:$E$27</c:f>
              <c:numCache>
                <c:formatCode>General</c:formatCode>
                <c:ptCount val="4"/>
                <c:pt idx="0">
                  <c:v>1.9</c:v>
                </c:pt>
                <c:pt idx="1">
                  <c:v>5.0999999999999996</c:v>
                </c:pt>
                <c:pt idx="2">
                  <c:v>6.9</c:v>
                </c:pt>
                <c:pt idx="3">
                  <c:v>6.9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715-4820-9382-19DD407C08D0}"/>
            </c:ext>
          </c:extLst>
        </c:ser>
        <c:ser>
          <c:idx val="3"/>
          <c:order val="3"/>
          <c:tx>
            <c:strRef>
              <c:f>'[1]Estadisticas descriptivas'!$F$23</c:f>
              <c:strCache>
                <c:ptCount val="1"/>
                <c:pt idx="0">
                  <c:v>Petal.Width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descriptivas'!$B$24:$B$27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descriptivas'!$F$24:$F$27</c:f>
              <c:numCache>
                <c:formatCode>General</c:formatCode>
                <c:ptCount val="4"/>
                <c:pt idx="0">
                  <c:v>0.6</c:v>
                </c:pt>
                <c:pt idx="1">
                  <c:v>1.8</c:v>
                </c:pt>
                <c:pt idx="2">
                  <c:v>2.5</c:v>
                </c:pt>
                <c:pt idx="3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715-4820-9382-19DD407C0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6"/>
        <c:axId val="2140841587"/>
        <c:axId val="2140841588"/>
      </c:barChart>
      <c:catAx>
        <c:axId val="2140841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88"/>
        <c:crosses val="autoZero"/>
        <c:auto val="1"/>
        <c:lblAlgn val="ctr"/>
        <c:lblOffset val="100"/>
        <c:noMultiLvlLbl val="0"/>
      </c:catAx>
      <c:valAx>
        <c:axId val="214084158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58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3638549"/>
      <a:ext cx="4552949" cy="28765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Mínimos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'[1]Estadisticas descriptivas'!$C$29</c:f>
              <c:strCache>
                <c:ptCount val="1"/>
                <c:pt idx="0">
                  <c:v>Sepal.Length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descriptivas'!$C$30:$C$33</c:f>
              <c:numCache>
                <c:formatCode>General</c:formatCode>
                <c:ptCount val="4"/>
                <c:pt idx="0">
                  <c:v>4.3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93-455B-B56C-BA89C5F00D49}"/>
            </c:ext>
          </c:extLst>
        </c:ser>
        <c:ser>
          <c:idx val="1"/>
          <c:order val="1"/>
          <c:tx>
            <c:strRef>
              <c:f>'[1]Estadisticas descriptivas'!$D$29</c:f>
              <c:strCache>
                <c:ptCount val="1"/>
                <c:pt idx="0">
                  <c:v>Sepal.Width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descriptivas'!$D$30:$D$33</c:f>
              <c:numCache>
                <c:formatCode>General</c:formatCode>
                <c:ptCount val="4"/>
                <c:pt idx="0">
                  <c:v>2.2999999999999998</c:v>
                </c:pt>
                <c:pt idx="1">
                  <c:v>2</c:v>
                </c:pt>
                <c:pt idx="2">
                  <c:v>2.2000000000000002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E93-455B-B56C-BA89C5F00D49}"/>
            </c:ext>
          </c:extLst>
        </c:ser>
        <c:ser>
          <c:idx val="2"/>
          <c:order val="2"/>
          <c:tx>
            <c:strRef>
              <c:f>'[1]Estadisticas descriptivas'!$E$29</c:f>
              <c:strCache>
                <c:ptCount val="1"/>
                <c:pt idx="0">
                  <c:v>Petal.Length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descriptivas'!$E$30:$E$33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4.5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E93-455B-B56C-BA89C5F00D49}"/>
            </c:ext>
          </c:extLst>
        </c:ser>
        <c:ser>
          <c:idx val="3"/>
          <c:order val="3"/>
          <c:tx>
            <c:strRef>
              <c:f>'[1]Estadisticas descriptivas'!$F$29</c:f>
              <c:strCache>
                <c:ptCount val="1"/>
                <c:pt idx="0">
                  <c:v>Petal.Width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'[1]Estadisticas descriptivas'!$B$30:$B$33</c:f>
              <c:strCache>
                <c:ptCount val="4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  <c:pt idx="3">
                  <c:v>global</c:v>
                </c:pt>
              </c:strCache>
            </c:strRef>
          </c:cat>
          <c:val>
            <c:numRef>
              <c:f>'[1]Estadisticas descriptivas'!$F$30:$F$33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1.4</c:v>
                </c:pt>
                <c:pt idx="3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E93-455B-B56C-BA89C5F00D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6"/>
        <c:axId val="2140841621"/>
        <c:axId val="2140841622"/>
      </c:barChart>
      <c:catAx>
        <c:axId val="2140841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622"/>
        <c:crosses val="autoZero"/>
        <c:auto val="1"/>
        <c:lblAlgn val="ctr"/>
        <c:lblOffset val="100"/>
        <c:noMultiLvlLbl val="0"/>
      </c:catAx>
      <c:valAx>
        <c:axId val="214084162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62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6686548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Distribución de especies de plantas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'[1]Estadisticas descriptivas'!$D$3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FAD-4F9C-9A7C-9AB335B3C369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FAD-4F9C-9A7C-9AB335B3C369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FAD-4F9C-9A7C-9AB335B3C36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AD-4F9C-9A7C-9AB335B3C36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AD-4F9C-9A7C-9AB335B3C36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AD-4F9C-9A7C-9AB335B3C369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'[1]Estadisticas descriptivas'!$B$4:$B$6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'[1]Estadisticas descriptivas'!$D$4:$D$6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AD-4F9C-9A7C-9AB335B3C3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0682287" y="95916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Conteo mediciones S.Lenght especie Setosa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[2]Hoja2!$C$56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cat>
            <c:strRef>
              <c:f>[2]Hoja2!$B$57:$B$69</c:f>
              <c:strCache>
                <c:ptCount val="13"/>
                <c:pt idx="0">
                  <c:v>[4,3-4,6)</c:v>
                </c:pt>
                <c:pt idx="1">
                  <c:v>[4,6-4,9)</c:v>
                </c:pt>
                <c:pt idx="2">
                  <c:v>[4,9-5,2)</c:v>
                </c:pt>
                <c:pt idx="3">
                  <c:v>[5,2-5,5)</c:v>
                </c:pt>
                <c:pt idx="4">
                  <c:v>[5,5-5,8)</c:v>
                </c:pt>
                <c:pt idx="5">
                  <c:v>[5,8-6,1)</c:v>
                </c:pt>
                <c:pt idx="6">
                  <c:v>[6,1-6,4)</c:v>
                </c:pt>
                <c:pt idx="7">
                  <c:v>[6,4-6,7)</c:v>
                </c:pt>
                <c:pt idx="8">
                  <c:v>[6,7-6,9)</c:v>
                </c:pt>
                <c:pt idx="9">
                  <c:v>[6,9-7,2)</c:v>
                </c:pt>
                <c:pt idx="10">
                  <c:v>[7,2-7,5)</c:v>
                </c:pt>
                <c:pt idx="11">
                  <c:v>[7,5-7,8)</c:v>
                </c:pt>
                <c:pt idx="12">
                  <c:v>[7,8-8,1)</c:v>
                </c:pt>
              </c:strCache>
            </c:strRef>
          </c:cat>
          <c:val>
            <c:numRef>
              <c:f>[2]Hoja2!$C$57:$C$69</c:f>
              <c:numCache>
                <c:formatCode>General</c:formatCode>
                <c:ptCount val="13"/>
                <c:pt idx="0">
                  <c:v>5</c:v>
                </c:pt>
                <c:pt idx="1">
                  <c:v>11</c:v>
                </c:pt>
                <c:pt idx="2">
                  <c:v>20</c:v>
                </c:pt>
                <c:pt idx="3">
                  <c:v>9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63-49B9-ADA8-09013CD90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845"/>
        <c:axId val="2140841846"/>
      </c:barChart>
      <c:catAx>
        <c:axId val="2140841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46"/>
        <c:crosses val="autoZero"/>
        <c:auto val="1"/>
        <c:lblAlgn val="ctr"/>
        <c:lblOffset val="100"/>
        <c:tickMarkSkip val="1"/>
        <c:noMultiLvlLbl val="0"/>
      </c:catAx>
      <c:valAx>
        <c:axId val="214084184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layout>
            <c:manualLayout>
              <c:xMode val="edge"/>
              <c:yMode val="edge"/>
              <c:x val="3.1022910328299229E-2"/>
              <c:y val="0.31283955630151139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45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9699" y="12668248"/>
      <a:ext cx="48101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S.Width especie Setosa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[2]Hoja2!$E$56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cat>
            <c:strRef>
              <c:f>[2]Hoja2!$D$57:$D$69</c:f>
              <c:strCache>
                <c:ptCount val="13"/>
                <c:pt idx="0">
                  <c:v>[2-2,2)</c:v>
                </c:pt>
                <c:pt idx="1">
                  <c:v>[2,2-2,4)</c:v>
                </c:pt>
                <c:pt idx="2">
                  <c:v>[2,4-2,6)</c:v>
                </c:pt>
                <c:pt idx="3">
                  <c:v>[2,6-2,8)</c:v>
                </c:pt>
                <c:pt idx="4">
                  <c:v>[2,8-3)</c:v>
                </c:pt>
                <c:pt idx="5">
                  <c:v>[3-3,2)</c:v>
                </c:pt>
                <c:pt idx="6">
                  <c:v>[3,2-3,4)</c:v>
                </c:pt>
                <c:pt idx="7">
                  <c:v>[3,4,-3,6)</c:v>
                </c:pt>
                <c:pt idx="8">
                  <c:v>[3,6-3,8)</c:v>
                </c:pt>
                <c:pt idx="9">
                  <c:v>[3,8-4)</c:v>
                </c:pt>
                <c:pt idx="10">
                  <c:v>[4-4,2)</c:v>
                </c:pt>
                <c:pt idx="11">
                  <c:v>[4,2-4,4)</c:v>
                </c:pt>
                <c:pt idx="12">
                  <c:v>[4,4-4,5)</c:v>
                </c:pt>
              </c:strCache>
            </c:strRef>
          </c:cat>
          <c:val>
            <c:numRef>
              <c:f>[2]Hoja2!$E$57:$E$69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59-436A-86DF-BD275806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853"/>
        <c:axId val="2140841854"/>
      </c:barChart>
      <c:catAx>
        <c:axId val="2140841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854"/>
        <c:crosses val="autoZero"/>
        <c:auto val="1"/>
        <c:lblAlgn val="ctr"/>
        <c:lblOffset val="100"/>
        <c:noMultiLvlLbl val="0"/>
      </c:catAx>
      <c:valAx>
        <c:axId val="2140841854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53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9699" y="15592424"/>
      <a:ext cx="48101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P.Lenght especie Setosa</a:t>
            </a:r>
          </a:p>
          <a:p>
            <a:pPr marL="0" marR="0" indent="0">
              <a:defRPr/>
            </a:pPr>
            <a:endParaRPr lang="es-CO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[2]Hoja2!$G$56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cat>
            <c:strRef>
              <c:f>[2]Hoja2!$F$57:$F$69</c:f>
              <c:strCache>
                <c:ptCount val="13"/>
                <c:pt idx="0">
                  <c:v>[1-1,5)</c:v>
                </c:pt>
                <c:pt idx="1">
                  <c:v>[1,5-2)</c:v>
                </c:pt>
                <c:pt idx="2">
                  <c:v>[2-2,4)</c:v>
                </c:pt>
                <c:pt idx="3">
                  <c:v>[2,4-2,9)</c:v>
                </c:pt>
                <c:pt idx="4">
                  <c:v>[2,9-3,4)</c:v>
                </c:pt>
                <c:pt idx="5">
                  <c:v>[3,4-3,9)</c:v>
                </c:pt>
                <c:pt idx="6">
                  <c:v>[3,9-4,4)</c:v>
                </c:pt>
                <c:pt idx="7">
                  <c:v>[4,4-4,9)</c:v>
                </c:pt>
                <c:pt idx="8">
                  <c:v>[4,9-5,3)</c:v>
                </c:pt>
                <c:pt idx="9">
                  <c:v>[5,3-5,8)</c:v>
                </c:pt>
                <c:pt idx="10">
                  <c:v>[5,8-6,3)</c:v>
                </c:pt>
                <c:pt idx="11">
                  <c:v>[6,3-6,8)</c:v>
                </c:pt>
                <c:pt idx="12">
                  <c:v>[6,8-7,3)</c:v>
                </c:pt>
              </c:strCache>
            </c:strRef>
          </c:cat>
          <c:val>
            <c:numRef>
              <c:f>[2]Hoja2!$G$57:$G$69</c:f>
              <c:numCache>
                <c:formatCode>General</c:formatCode>
                <c:ptCount val="13"/>
                <c:pt idx="0">
                  <c:v>24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91-4740-8DBE-7ABBF6CE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861"/>
        <c:axId val="2140841862"/>
      </c:barChart>
      <c:catAx>
        <c:axId val="2140841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862"/>
        <c:crosses val="autoZero"/>
        <c:auto val="1"/>
        <c:lblAlgn val="ctr"/>
        <c:lblOffset val="100"/>
        <c:noMultiLvlLbl val="0"/>
      </c:catAx>
      <c:valAx>
        <c:axId val="214084186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6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9699" y="18468974"/>
      <a:ext cx="48101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P.Width especie Setosa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[2]Hoja2!$I$56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>
              <a:noFill/>
            </a:ln>
          </c:spPr>
          <c:invertIfNegative val="1"/>
          <c:cat>
            <c:strRef>
              <c:f>[2]Hoja2!$H$57:$H$69</c:f>
              <c:strCache>
                <c:ptCount val="13"/>
                <c:pt idx="0">
                  <c:v>[0,1-0,3)</c:v>
                </c:pt>
                <c:pt idx="1">
                  <c:v>[0,3-0,5)</c:v>
                </c:pt>
                <c:pt idx="2">
                  <c:v>[0,5-0,7)</c:v>
                </c:pt>
                <c:pt idx="3">
                  <c:v>[0,7-0.9)</c:v>
                </c:pt>
                <c:pt idx="4">
                  <c:v>[0,9-1,1)</c:v>
                </c:pt>
                <c:pt idx="5">
                  <c:v>[1,1-1,3)</c:v>
                </c:pt>
                <c:pt idx="6">
                  <c:v>[1,3-1,5)</c:v>
                </c:pt>
                <c:pt idx="7">
                  <c:v>[1,5-1,7)</c:v>
                </c:pt>
                <c:pt idx="8">
                  <c:v>[1,7-1,9)</c:v>
                </c:pt>
                <c:pt idx="9">
                  <c:v>[1,9-2,1)</c:v>
                </c:pt>
                <c:pt idx="10">
                  <c:v>[2,1-2,3)</c:v>
                </c:pt>
                <c:pt idx="11">
                  <c:v>[2,3-2,5)</c:v>
                </c:pt>
                <c:pt idx="12">
                  <c:v>[2,5-2,6)</c:v>
                </c:pt>
              </c:strCache>
            </c:strRef>
          </c:cat>
          <c:val>
            <c:numRef>
              <c:f>[2]Hoja2!$I$57:$I$69</c:f>
              <c:numCache>
                <c:formatCode>General</c:formatCode>
                <c:ptCount val="13"/>
                <c:pt idx="0">
                  <c:v>34</c:v>
                </c:pt>
                <c:pt idx="1">
                  <c:v>14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F7-4BDC-A775-AC612EE93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869"/>
        <c:axId val="2140841870"/>
      </c:barChart>
      <c:catAx>
        <c:axId val="2140841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870"/>
        <c:crosses val="autoZero"/>
        <c:auto val="1"/>
        <c:lblAlgn val="ctr"/>
        <c:lblOffset val="100"/>
        <c:noMultiLvlLbl val="0"/>
      </c:catAx>
      <c:valAx>
        <c:axId val="214084187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69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9699" y="21355049"/>
      <a:ext cx="48101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S.Lenght especie Versicolor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[2]Hoja2!$L$56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dPt>
            <c:idx val="4"/>
            <c:invertIfNegative val="1"/>
            <c:bubble3D val="0"/>
            <c:spPr>
              <a:prstGeom prst="rect">
                <a:avLst/>
              </a:prstGeom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C3CD-405C-B12D-1A0F63423B15}"/>
              </c:ext>
            </c:extLst>
          </c:dPt>
          <c:cat>
            <c:strRef>
              <c:f>[2]Hoja2!$K$57:$K$69</c:f>
              <c:strCache>
                <c:ptCount val="13"/>
                <c:pt idx="0">
                  <c:v>[4,3-4,6)</c:v>
                </c:pt>
                <c:pt idx="1">
                  <c:v>[4,6-4,9)</c:v>
                </c:pt>
                <c:pt idx="2">
                  <c:v>[4,9-5,2)</c:v>
                </c:pt>
                <c:pt idx="3">
                  <c:v>[5,2-5,5)</c:v>
                </c:pt>
                <c:pt idx="4">
                  <c:v>[5,5-5,8)</c:v>
                </c:pt>
                <c:pt idx="5">
                  <c:v>[5,8-6,1)</c:v>
                </c:pt>
                <c:pt idx="6">
                  <c:v>[6,1-6,4)</c:v>
                </c:pt>
                <c:pt idx="7">
                  <c:v>[6,4-6,7)</c:v>
                </c:pt>
                <c:pt idx="8">
                  <c:v>[6,7-6,9)</c:v>
                </c:pt>
                <c:pt idx="9">
                  <c:v>[6,9-7,2)</c:v>
                </c:pt>
                <c:pt idx="10">
                  <c:v>[7,2-7,5)</c:v>
                </c:pt>
                <c:pt idx="11">
                  <c:v>[7,5-7,8)</c:v>
                </c:pt>
                <c:pt idx="12">
                  <c:v>[7,8-8,1)</c:v>
                </c:pt>
              </c:strCache>
            </c:strRef>
          </c:cat>
          <c:val>
            <c:numRef>
              <c:f>[2]Hoja2!$L$57:$L$69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15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CD-405C-B12D-1A0F6342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885"/>
        <c:axId val="2140841886"/>
      </c:barChart>
      <c:catAx>
        <c:axId val="2140841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886"/>
        <c:crosses val="autoZero"/>
        <c:auto val="1"/>
        <c:lblAlgn val="ctr"/>
        <c:lblOffset val="100"/>
        <c:noMultiLvlLbl val="0"/>
      </c:catAx>
      <c:valAx>
        <c:axId val="214084188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85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8324849" y="126682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S.Width especie Versicolor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[2]Hoja2!$N$56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cat>
            <c:strRef>
              <c:f>[2]Hoja2!$M$57:$M$69</c:f>
              <c:strCache>
                <c:ptCount val="13"/>
                <c:pt idx="0">
                  <c:v>[2-2,2)</c:v>
                </c:pt>
                <c:pt idx="1">
                  <c:v>[2,2-2,4)</c:v>
                </c:pt>
                <c:pt idx="2">
                  <c:v>[2,4-2,6)</c:v>
                </c:pt>
                <c:pt idx="3">
                  <c:v>[2,6-2,8)</c:v>
                </c:pt>
                <c:pt idx="4">
                  <c:v>[2,8-3)</c:v>
                </c:pt>
                <c:pt idx="5">
                  <c:v>[3-3,2)</c:v>
                </c:pt>
                <c:pt idx="6">
                  <c:v>[3,2-3,4)</c:v>
                </c:pt>
                <c:pt idx="7">
                  <c:v>[3,4,-3,6)</c:v>
                </c:pt>
                <c:pt idx="8">
                  <c:v>[3,6-3,8)</c:v>
                </c:pt>
                <c:pt idx="9">
                  <c:v>[3,8-4)</c:v>
                </c:pt>
                <c:pt idx="10">
                  <c:v>[4-4,2)</c:v>
                </c:pt>
                <c:pt idx="11">
                  <c:v>[4,2-4,4)</c:v>
                </c:pt>
                <c:pt idx="12">
                  <c:v>[4,4-4,5)</c:v>
                </c:pt>
              </c:strCache>
            </c:strRef>
          </c:cat>
          <c:val>
            <c:numRef>
              <c:f>[2]Hoja2!$N$57:$N$69</c:f>
              <c:numCache>
                <c:formatCode>General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13</c:v>
                </c:pt>
                <c:pt idx="5">
                  <c:v>11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56-48D2-AE22-8AC841D9B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893"/>
        <c:axId val="2140841894"/>
      </c:barChart>
      <c:catAx>
        <c:axId val="2140841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894"/>
        <c:crosses val="autoZero"/>
        <c:auto val="1"/>
        <c:lblAlgn val="ctr"/>
        <c:lblOffset val="100"/>
        <c:noMultiLvlLbl val="0"/>
      </c:catAx>
      <c:valAx>
        <c:axId val="2140841894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893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8324849" y="155447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P.Lenght especie Versicolor</a:t>
            </a:r>
            <a:endParaRPr lang="es-CO" sz="1200"/>
          </a:p>
          <a:p>
            <a:pPr marL="0" marR="0" indent="0">
              <a:defRPr/>
            </a:pPr>
            <a:endParaRPr lang="es-CO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[2]Hoja2!$P$56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cat>
            <c:strRef>
              <c:f>[2]Hoja2!$O$57:$O$69</c:f>
              <c:strCache>
                <c:ptCount val="13"/>
                <c:pt idx="0">
                  <c:v>[1-1,5)</c:v>
                </c:pt>
                <c:pt idx="1">
                  <c:v>[1,5-2)</c:v>
                </c:pt>
                <c:pt idx="2">
                  <c:v>[2-2,4)</c:v>
                </c:pt>
                <c:pt idx="3">
                  <c:v>[2,4-2,9)</c:v>
                </c:pt>
                <c:pt idx="4">
                  <c:v>[2,9-3,4)</c:v>
                </c:pt>
                <c:pt idx="5">
                  <c:v>[3,4-3,9)</c:v>
                </c:pt>
                <c:pt idx="6">
                  <c:v>[3,9-4,4)</c:v>
                </c:pt>
                <c:pt idx="7">
                  <c:v>[4,4-4,9)</c:v>
                </c:pt>
                <c:pt idx="8">
                  <c:v>[4,9-5,3)</c:v>
                </c:pt>
                <c:pt idx="9">
                  <c:v>[5,3-5,8)</c:v>
                </c:pt>
                <c:pt idx="10">
                  <c:v>[5,8-6,3)</c:v>
                </c:pt>
                <c:pt idx="11">
                  <c:v>[6,3-6,8)</c:v>
                </c:pt>
                <c:pt idx="12">
                  <c:v>[6,8-7,3)</c:v>
                </c:pt>
              </c:strCache>
            </c:strRef>
          </c:cat>
          <c:val>
            <c:numRef>
              <c:f>[2]Hoja2!$P$57:$P$69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5</c:v>
                </c:pt>
                <c:pt idx="6">
                  <c:v>17</c:v>
                </c:pt>
                <c:pt idx="7">
                  <c:v>21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EB-4116-B935-C3F7E6F6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901"/>
        <c:axId val="2140841902"/>
      </c:barChart>
      <c:catAx>
        <c:axId val="2140841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902"/>
        <c:crosses val="autoZero"/>
        <c:auto val="1"/>
        <c:lblAlgn val="ctr"/>
        <c:lblOffset val="100"/>
        <c:noMultiLvlLbl val="0"/>
      </c:catAx>
      <c:valAx>
        <c:axId val="214084190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90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8324849" y="184689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P.Width especie Versicolor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[2]Hoja2!$R$56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ED7D31"/>
            </a:solidFill>
            <a:ln>
              <a:noFill/>
            </a:ln>
          </c:spPr>
          <c:invertIfNegative val="1"/>
          <c:cat>
            <c:strRef>
              <c:f>[2]Hoja2!$Q$57:$Q$69</c:f>
              <c:strCache>
                <c:ptCount val="13"/>
                <c:pt idx="0">
                  <c:v>[0,1-0,3)</c:v>
                </c:pt>
                <c:pt idx="1">
                  <c:v>[0,3-0,5)</c:v>
                </c:pt>
                <c:pt idx="2">
                  <c:v>[0,5-0,7)</c:v>
                </c:pt>
                <c:pt idx="3">
                  <c:v>[0,7-0.9)</c:v>
                </c:pt>
                <c:pt idx="4">
                  <c:v>[0,9-1,1)</c:v>
                </c:pt>
                <c:pt idx="5">
                  <c:v>[1,1-1,3)</c:v>
                </c:pt>
                <c:pt idx="6">
                  <c:v>[1,3-1,5)</c:v>
                </c:pt>
                <c:pt idx="7">
                  <c:v>[1,5-1,7)</c:v>
                </c:pt>
                <c:pt idx="8">
                  <c:v>[1,7-1,9)</c:v>
                </c:pt>
                <c:pt idx="9">
                  <c:v>[1,9-2,1)</c:v>
                </c:pt>
                <c:pt idx="10">
                  <c:v>[2,1-2,3)</c:v>
                </c:pt>
                <c:pt idx="11">
                  <c:v>[2,3-2,5)</c:v>
                </c:pt>
                <c:pt idx="12">
                  <c:v>[2,5-2,6)</c:v>
                </c:pt>
              </c:strCache>
            </c:strRef>
          </c:cat>
          <c:val>
            <c:numRef>
              <c:f>[2]Hoja2!$R$57:$R$69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8</c:v>
                </c:pt>
                <c:pt idx="6">
                  <c:v>20</c:v>
                </c:pt>
                <c:pt idx="7">
                  <c:v>13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6D-4C30-88FC-A814CEAC5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909"/>
        <c:axId val="2140841910"/>
      </c:barChart>
      <c:catAx>
        <c:axId val="2140841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910"/>
        <c:crosses val="autoZero"/>
        <c:auto val="1"/>
        <c:lblAlgn val="ctr"/>
        <c:lblOffset val="100"/>
        <c:noMultiLvlLbl val="0"/>
      </c:catAx>
      <c:valAx>
        <c:axId val="214084191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909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8324849" y="213550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S.Lenght especie Virginica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[2]Hoja2!$U$56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cat>
            <c:strRef>
              <c:f>[2]Hoja2!$T$57:$T$69</c:f>
              <c:strCache>
                <c:ptCount val="13"/>
                <c:pt idx="0">
                  <c:v>[4,3-4,6)</c:v>
                </c:pt>
                <c:pt idx="1">
                  <c:v>[4,6-4,9)</c:v>
                </c:pt>
                <c:pt idx="2">
                  <c:v>[4,9-5,2)</c:v>
                </c:pt>
                <c:pt idx="3">
                  <c:v>[5,2-5,5)</c:v>
                </c:pt>
                <c:pt idx="4">
                  <c:v>[5,5-5,8)</c:v>
                </c:pt>
                <c:pt idx="5">
                  <c:v>[5,8-6,1)</c:v>
                </c:pt>
                <c:pt idx="6">
                  <c:v>[6,1-6,4)</c:v>
                </c:pt>
                <c:pt idx="7">
                  <c:v>[6,4-6,7)</c:v>
                </c:pt>
                <c:pt idx="8">
                  <c:v>[6,7-6,9)</c:v>
                </c:pt>
                <c:pt idx="9">
                  <c:v>[6,9-7,2)</c:v>
                </c:pt>
                <c:pt idx="10">
                  <c:v>[7,2-7,5)</c:v>
                </c:pt>
                <c:pt idx="11">
                  <c:v>[7,5-7,8)</c:v>
                </c:pt>
                <c:pt idx="12">
                  <c:v>[7,8-8,1)</c:v>
                </c:pt>
              </c:strCache>
            </c:strRef>
          </c:cat>
          <c:val>
            <c:numRef>
              <c:f>[2]Hoja2!$U$57:$U$69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7B-4DC3-BF4D-6B57142E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917"/>
        <c:axId val="2140841918"/>
      </c:barChart>
      <c:catAx>
        <c:axId val="2140841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918"/>
        <c:crosses val="autoZero"/>
        <c:auto val="1"/>
        <c:lblAlgn val="ctr"/>
        <c:lblOffset val="100"/>
        <c:noMultiLvlLbl val="0"/>
      </c:catAx>
      <c:valAx>
        <c:axId val="214084191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91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49374" y="126682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S.Width especie Virginica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[2]Hoja2!$W$56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cat>
            <c:strRef>
              <c:f>[2]Hoja2!$V$57:$V$69</c:f>
              <c:strCache>
                <c:ptCount val="13"/>
                <c:pt idx="0">
                  <c:v>[2-2,2)</c:v>
                </c:pt>
                <c:pt idx="1">
                  <c:v>[2,2-2,4)</c:v>
                </c:pt>
                <c:pt idx="2">
                  <c:v>[2,4-2,6)</c:v>
                </c:pt>
                <c:pt idx="3">
                  <c:v>[2,6-2,8)</c:v>
                </c:pt>
                <c:pt idx="4">
                  <c:v>[2,8-3)</c:v>
                </c:pt>
                <c:pt idx="5">
                  <c:v>[3-3,2)</c:v>
                </c:pt>
                <c:pt idx="6">
                  <c:v>[3,2-3,4)</c:v>
                </c:pt>
                <c:pt idx="7">
                  <c:v>[3,4,-3,6)</c:v>
                </c:pt>
                <c:pt idx="8">
                  <c:v>[3,6-3,8)</c:v>
                </c:pt>
                <c:pt idx="9">
                  <c:v>[3,8-4)</c:v>
                </c:pt>
                <c:pt idx="10">
                  <c:v>[4-4,2)</c:v>
                </c:pt>
                <c:pt idx="11">
                  <c:v>[4,2-4,4)</c:v>
                </c:pt>
                <c:pt idx="12">
                  <c:v>[4,4-4,5)</c:v>
                </c:pt>
              </c:strCache>
            </c:strRef>
          </c:cat>
          <c:val>
            <c:numRef>
              <c:f>[2]Hoja2!$W$57:$W$69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16</c:v>
                </c:pt>
                <c:pt idx="6">
                  <c:v>8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E4-47CD-9298-490C223BD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925"/>
        <c:axId val="2140841926"/>
      </c:barChart>
      <c:catAx>
        <c:axId val="2140841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926"/>
        <c:crosses val="autoZero"/>
        <c:auto val="1"/>
        <c:lblAlgn val="ctr"/>
        <c:lblOffset val="100"/>
        <c:noMultiLvlLbl val="0"/>
      </c:catAx>
      <c:valAx>
        <c:axId val="214084192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925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49374" y="155447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P.Lenght especie Virginica</a:t>
            </a:r>
            <a:endParaRPr lang="es-CO" sz="1200"/>
          </a:p>
        </c:rich>
      </c:tx>
      <c:layout>
        <c:manualLayout>
          <c:xMode val="edge"/>
          <c:yMode val="edge"/>
          <c:x val="0.12214286001383717"/>
          <c:y val="2.3088073089701011E-2"/>
        </c:manualLayout>
      </c:layout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[2]Hoja2!$Y$56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cat>
            <c:strRef>
              <c:f>[2]Hoja2!$X$57:$X$69</c:f>
              <c:strCache>
                <c:ptCount val="13"/>
                <c:pt idx="0">
                  <c:v>[1-1,5)</c:v>
                </c:pt>
                <c:pt idx="1">
                  <c:v>[1,5-2)</c:v>
                </c:pt>
                <c:pt idx="2">
                  <c:v>[2-2,4)</c:v>
                </c:pt>
                <c:pt idx="3">
                  <c:v>[2,4-2,9)</c:v>
                </c:pt>
                <c:pt idx="4">
                  <c:v>[2,9-3,4)</c:v>
                </c:pt>
                <c:pt idx="5">
                  <c:v>[3,4-3,9)</c:v>
                </c:pt>
                <c:pt idx="6">
                  <c:v>[3,9-4,4)</c:v>
                </c:pt>
                <c:pt idx="7">
                  <c:v>[4,4-4,9)</c:v>
                </c:pt>
                <c:pt idx="8">
                  <c:v>[4,9-5,3)</c:v>
                </c:pt>
                <c:pt idx="9">
                  <c:v>[5,3-5,8)</c:v>
                </c:pt>
                <c:pt idx="10">
                  <c:v>[5,8-6,3)</c:v>
                </c:pt>
                <c:pt idx="11">
                  <c:v>[6,3-6,8)</c:v>
                </c:pt>
                <c:pt idx="12">
                  <c:v>[6,8-7,3)</c:v>
                </c:pt>
              </c:strCache>
            </c:strRef>
          </c:cat>
          <c:val>
            <c:numRef>
              <c:f>[2]Hoja2!$Y$57:$Y$69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15</c:v>
                </c:pt>
                <c:pt idx="9">
                  <c:v>16</c:v>
                </c:pt>
                <c:pt idx="10">
                  <c:v>10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1A-4E1D-AC37-8DFB46DB0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933"/>
        <c:axId val="2140841934"/>
      </c:barChart>
      <c:catAx>
        <c:axId val="2140841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934"/>
        <c:crosses val="autoZero"/>
        <c:auto val="1"/>
        <c:lblAlgn val="ctr"/>
        <c:lblOffset val="100"/>
        <c:noMultiLvlLbl val="0"/>
      </c:catAx>
      <c:valAx>
        <c:axId val="2140841934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933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49374" y="184689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>
              <a:defRPr/>
            </a:pPr>
            <a:r>
              <a:rPr lang="es-CO" sz="1400">
                <a:solidFill>
                  <a:srgbClr val="595959"/>
                </a:solidFill>
                <a:latin typeface="Calibri"/>
                <a:ea typeface="Calibri"/>
                <a:cs typeface="Calibri"/>
              </a:rPr>
              <a:t>Conteo mediciones P.Width especie Virginica</a:t>
            </a:r>
            <a:endParaRPr lang="es-CO" sz="1200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[2]Hoja2!$AA$56</c:f>
              <c:strCache>
                <c:ptCount val="1"/>
                <c:pt idx="0">
                  <c:v>Conteo</c:v>
                </c:pt>
              </c:strCache>
            </c:strRef>
          </c:tx>
          <c:spPr>
            <a:prstGeom prst="rect">
              <a:avLst/>
            </a:prstGeom>
            <a:solidFill>
              <a:srgbClr val="A5A5A5"/>
            </a:solidFill>
            <a:ln>
              <a:noFill/>
            </a:ln>
          </c:spPr>
          <c:invertIfNegative val="1"/>
          <c:cat>
            <c:strRef>
              <c:f>[2]Hoja2!$Z$57:$Z$69</c:f>
              <c:strCache>
                <c:ptCount val="13"/>
                <c:pt idx="0">
                  <c:v>[0,1-0,3)</c:v>
                </c:pt>
                <c:pt idx="1">
                  <c:v>[0,3-0,5)</c:v>
                </c:pt>
                <c:pt idx="2">
                  <c:v>[0,5-0,7)</c:v>
                </c:pt>
                <c:pt idx="3">
                  <c:v>[0,7-0.9)</c:v>
                </c:pt>
                <c:pt idx="4">
                  <c:v>[0,9-1,1)</c:v>
                </c:pt>
                <c:pt idx="5">
                  <c:v>[1,1-1,3)</c:v>
                </c:pt>
                <c:pt idx="6">
                  <c:v>[1,3-1,5)</c:v>
                </c:pt>
                <c:pt idx="7">
                  <c:v>[1,5-1,7)</c:v>
                </c:pt>
                <c:pt idx="8">
                  <c:v>[1,7-1,9)</c:v>
                </c:pt>
                <c:pt idx="9">
                  <c:v>[1,9-2,1)</c:v>
                </c:pt>
                <c:pt idx="10">
                  <c:v>[2,1-2,3)</c:v>
                </c:pt>
                <c:pt idx="11">
                  <c:v>[2,3-2,5)</c:v>
                </c:pt>
                <c:pt idx="12">
                  <c:v>[2,5-2,6)</c:v>
                </c:pt>
              </c:strCache>
            </c:strRef>
          </c:cat>
          <c:val>
            <c:numRef>
              <c:f>[2]Hoja2!$AA$57:$AA$69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12</c:v>
                </c:pt>
                <c:pt idx="9">
                  <c:v>11</c:v>
                </c:pt>
                <c:pt idx="10">
                  <c:v>9</c:v>
                </c:pt>
                <c:pt idx="11">
                  <c:v>11</c:v>
                </c:pt>
                <c:pt idx="1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B6-4896-9B69-ECA57C106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40841941"/>
        <c:axId val="2140841942"/>
      </c:barChart>
      <c:catAx>
        <c:axId val="2140841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 (Intervalos)</a:t>
                </a:r>
              </a:p>
            </c:rich>
          </c:tx>
          <c:layout>
            <c:manualLayout>
              <c:xMode val="edge"/>
              <c:yMode val="edge"/>
              <c:x val="0.41511723168495152"/>
              <c:y val="0.77982056300081692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s-CO"/>
          </a:p>
        </c:txPr>
        <c:crossAx val="2140841942"/>
        <c:crosses val="autoZero"/>
        <c:auto val="1"/>
        <c:lblAlgn val="ctr"/>
        <c:lblOffset val="100"/>
        <c:noMultiLvlLbl val="0"/>
      </c:catAx>
      <c:valAx>
        <c:axId val="214084194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Conteo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084194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xfrm>
      <a:off x="14049374" y="213550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 vs ancho del sepalo (Setosa)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Correlación!$C$3:$C$52</c:f>
              <c:numCache>
                <c:formatCode>General</c:formatCode>
                <c:ptCount val="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</c:numCache>
            </c:numRef>
          </c:xVal>
          <c:yVal>
            <c:numRef>
              <c:f>Correlación!$D$3:$D$52</c:f>
              <c:numCache>
                <c:formatCode>General</c:formatCode>
                <c:ptCount val="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3.6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6-49EF-AB6B-8AD48DA0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062767"/>
        <c:axId val="367077647"/>
      </c:scatterChart>
      <c:valAx>
        <c:axId val="3670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</a:t>
                </a:r>
                <a:r>
                  <a:rPr lang="es-CO" baseline="0"/>
                  <a:t> del sepalo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7077647"/>
        <c:crosses val="autoZero"/>
        <c:crossBetween val="midCat"/>
      </c:valAx>
      <c:valAx>
        <c:axId val="36707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Ancho</a:t>
                </a:r>
                <a:r>
                  <a:rPr lang="es-CO" baseline="0"/>
                  <a:t> del sepalo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706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 del sepalo vs longitud del petalo (versicolor)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Correlación!$C$53:$C$102</c:f>
              <c:numCache>
                <c:formatCode>General</c:formatCode>
                <c:ptCount val="50"/>
                <c:pt idx="0">
                  <c:v>7</c:v>
                </c:pt>
                <c:pt idx="1">
                  <c:v>6.4</c:v>
                </c:pt>
                <c:pt idx="2">
                  <c:v>6.9</c:v>
                </c:pt>
                <c:pt idx="3">
                  <c:v>5.5</c:v>
                </c:pt>
                <c:pt idx="4">
                  <c:v>6.5</c:v>
                </c:pt>
                <c:pt idx="5">
                  <c:v>5.7</c:v>
                </c:pt>
                <c:pt idx="6">
                  <c:v>6.3</c:v>
                </c:pt>
                <c:pt idx="7">
                  <c:v>4.9000000000000004</c:v>
                </c:pt>
                <c:pt idx="8">
                  <c:v>6.6</c:v>
                </c:pt>
                <c:pt idx="9">
                  <c:v>5.2</c:v>
                </c:pt>
                <c:pt idx="10">
                  <c:v>5</c:v>
                </c:pt>
                <c:pt idx="11">
                  <c:v>5.9</c:v>
                </c:pt>
                <c:pt idx="12">
                  <c:v>6</c:v>
                </c:pt>
                <c:pt idx="13">
                  <c:v>6.1</c:v>
                </c:pt>
                <c:pt idx="14">
                  <c:v>5.6</c:v>
                </c:pt>
                <c:pt idx="15">
                  <c:v>6.7</c:v>
                </c:pt>
                <c:pt idx="16">
                  <c:v>5.6</c:v>
                </c:pt>
                <c:pt idx="17">
                  <c:v>5.8</c:v>
                </c:pt>
                <c:pt idx="18">
                  <c:v>6.2</c:v>
                </c:pt>
                <c:pt idx="19">
                  <c:v>5.6</c:v>
                </c:pt>
                <c:pt idx="20">
                  <c:v>5.9</c:v>
                </c:pt>
                <c:pt idx="21">
                  <c:v>6.1</c:v>
                </c:pt>
                <c:pt idx="22">
                  <c:v>6.3</c:v>
                </c:pt>
                <c:pt idx="23">
                  <c:v>6.1</c:v>
                </c:pt>
                <c:pt idx="24">
                  <c:v>6.4</c:v>
                </c:pt>
                <c:pt idx="25">
                  <c:v>6.6</c:v>
                </c:pt>
                <c:pt idx="26">
                  <c:v>6.8</c:v>
                </c:pt>
                <c:pt idx="27">
                  <c:v>6.7</c:v>
                </c:pt>
                <c:pt idx="28">
                  <c:v>6</c:v>
                </c:pt>
                <c:pt idx="29">
                  <c:v>5.7</c:v>
                </c:pt>
                <c:pt idx="30">
                  <c:v>5.5</c:v>
                </c:pt>
                <c:pt idx="31">
                  <c:v>5.5</c:v>
                </c:pt>
                <c:pt idx="32">
                  <c:v>5.8</c:v>
                </c:pt>
                <c:pt idx="33">
                  <c:v>6</c:v>
                </c:pt>
                <c:pt idx="34">
                  <c:v>5.4</c:v>
                </c:pt>
                <c:pt idx="35">
                  <c:v>6</c:v>
                </c:pt>
                <c:pt idx="36">
                  <c:v>6.7</c:v>
                </c:pt>
                <c:pt idx="37">
                  <c:v>6.3</c:v>
                </c:pt>
                <c:pt idx="38">
                  <c:v>5.6</c:v>
                </c:pt>
                <c:pt idx="39">
                  <c:v>5.5</c:v>
                </c:pt>
                <c:pt idx="40">
                  <c:v>5.5</c:v>
                </c:pt>
                <c:pt idx="41">
                  <c:v>6.1</c:v>
                </c:pt>
                <c:pt idx="42">
                  <c:v>5.8</c:v>
                </c:pt>
                <c:pt idx="43">
                  <c:v>5</c:v>
                </c:pt>
                <c:pt idx="44">
                  <c:v>5.6</c:v>
                </c:pt>
                <c:pt idx="45">
                  <c:v>5.7</c:v>
                </c:pt>
                <c:pt idx="46">
                  <c:v>5.7</c:v>
                </c:pt>
                <c:pt idx="47">
                  <c:v>6.2</c:v>
                </c:pt>
                <c:pt idx="48">
                  <c:v>5.0999999999999996</c:v>
                </c:pt>
                <c:pt idx="49">
                  <c:v>5.7</c:v>
                </c:pt>
              </c:numCache>
            </c:numRef>
          </c:xVal>
          <c:yVal>
            <c:numRef>
              <c:f>Correlación!$E$53:$E$102</c:f>
              <c:numCache>
                <c:formatCode>General</c:formatCode>
                <c:ptCount val="50"/>
                <c:pt idx="0">
                  <c:v>4.7</c:v>
                </c:pt>
                <c:pt idx="1">
                  <c:v>4.5</c:v>
                </c:pt>
                <c:pt idx="2">
                  <c:v>4.9000000000000004</c:v>
                </c:pt>
                <c:pt idx="3">
                  <c:v>4</c:v>
                </c:pt>
                <c:pt idx="4">
                  <c:v>4.5999999999999996</c:v>
                </c:pt>
                <c:pt idx="5">
                  <c:v>4.5</c:v>
                </c:pt>
                <c:pt idx="6">
                  <c:v>4.7</c:v>
                </c:pt>
                <c:pt idx="7">
                  <c:v>3.3</c:v>
                </c:pt>
                <c:pt idx="8">
                  <c:v>4.5999999999999996</c:v>
                </c:pt>
                <c:pt idx="9">
                  <c:v>3.9</c:v>
                </c:pt>
                <c:pt idx="10">
                  <c:v>3.5</c:v>
                </c:pt>
                <c:pt idx="11">
                  <c:v>4.2</c:v>
                </c:pt>
                <c:pt idx="12">
                  <c:v>4</c:v>
                </c:pt>
                <c:pt idx="13">
                  <c:v>4.7</c:v>
                </c:pt>
                <c:pt idx="14">
                  <c:v>3.6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4.0999999999999996</c:v>
                </c:pt>
                <c:pt idx="18">
                  <c:v>4.5</c:v>
                </c:pt>
                <c:pt idx="19">
                  <c:v>3.9</c:v>
                </c:pt>
                <c:pt idx="20">
                  <c:v>4.8</c:v>
                </c:pt>
                <c:pt idx="21">
                  <c:v>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4.8</c:v>
                </c:pt>
                <c:pt idx="27">
                  <c:v>5</c:v>
                </c:pt>
                <c:pt idx="28">
                  <c:v>4.5</c:v>
                </c:pt>
                <c:pt idx="29">
                  <c:v>3.5</c:v>
                </c:pt>
                <c:pt idx="30">
                  <c:v>3.8</c:v>
                </c:pt>
                <c:pt idx="31">
                  <c:v>3.7</c:v>
                </c:pt>
                <c:pt idx="32">
                  <c:v>3.9</c:v>
                </c:pt>
                <c:pt idx="33">
                  <c:v>5.0999999999999996</c:v>
                </c:pt>
                <c:pt idx="34">
                  <c:v>4.5</c:v>
                </c:pt>
                <c:pt idx="35">
                  <c:v>4.5</c:v>
                </c:pt>
                <c:pt idx="36">
                  <c:v>4.7</c:v>
                </c:pt>
                <c:pt idx="37">
                  <c:v>4.4000000000000004</c:v>
                </c:pt>
                <c:pt idx="38">
                  <c:v>4.0999999999999996</c:v>
                </c:pt>
                <c:pt idx="39">
                  <c:v>4</c:v>
                </c:pt>
                <c:pt idx="40">
                  <c:v>4.4000000000000004</c:v>
                </c:pt>
                <c:pt idx="41">
                  <c:v>4.5999999999999996</c:v>
                </c:pt>
                <c:pt idx="42">
                  <c:v>4</c:v>
                </c:pt>
                <c:pt idx="43">
                  <c:v>3.3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3</c:v>
                </c:pt>
                <c:pt idx="49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F-4B03-A9B9-3AD12A3F3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030127"/>
        <c:axId val="367031087"/>
      </c:scatterChart>
      <c:valAx>
        <c:axId val="36703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del sepalo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7031087"/>
        <c:crosses val="autoZero"/>
        <c:crossBetween val="midCat"/>
      </c:valAx>
      <c:valAx>
        <c:axId val="3670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del petalo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703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</a:t>
            </a:r>
            <a:r>
              <a:rPr lang="es-CO" baseline="0"/>
              <a:t> de petalo vs Ancho de petalo (versicolor)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Correlación!$E$53:$E$102</c:f>
              <c:numCache>
                <c:formatCode>General</c:formatCode>
                <c:ptCount val="50"/>
                <c:pt idx="0">
                  <c:v>4.7</c:v>
                </c:pt>
                <c:pt idx="1">
                  <c:v>4.5</c:v>
                </c:pt>
                <c:pt idx="2">
                  <c:v>4.9000000000000004</c:v>
                </c:pt>
                <c:pt idx="3">
                  <c:v>4</c:v>
                </c:pt>
                <c:pt idx="4">
                  <c:v>4.5999999999999996</c:v>
                </c:pt>
                <c:pt idx="5">
                  <c:v>4.5</c:v>
                </c:pt>
                <c:pt idx="6">
                  <c:v>4.7</c:v>
                </c:pt>
                <c:pt idx="7">
                  <c:v>3.3</c:v>
                </c:pt>
                <c:pt idx="8">
                  <c:v>4.5999999999999996</c:v>
                </c:pt>
                <c:pt idx="9">
                  <c:v>3.9</c:v>
                </c:pt>
                <c:pt idx="10">
                  <c:v>3.5</c:v>
                </c:pt>
                <c:pt idx="11">
                  <c:v>4.2</c:v>
                </c:pt>
                <c:pt idx="12">
                  <c:v>4</c:v>
                </c:pt>
                <c:pt idx="13">
                  <c:v>4.7</c:v>
                </c:pt>
                <c:pt idx="14">
                  <c:v>3.6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4.0999999999999996</c:v>
                </c:pt>
                <c:pt idx="18">
                  <c:v>4.5</c:v>
                </c:pt>
                <c:pt idx="19">
                  <c:v>3.9</c:v>
                </c:pt>
                <c:pt idx="20">
                  <c:v>4.8</c:v>
                </c:pt>
                <c:pt idx="21">
                  <c:v>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4.8</c:v>
                </c:pt>
                <c:pt idx="27">
                  <c:v>5</c:v>
                </c:pt>
                <c:pt idx="28">
                  <c:v>4.5</c:v>
                </c:pt>
                <c:pt idx="29">
                  <c:v>3.5</c:v>
                </c:pt>
                <c:pt idx="30">
                  <c:v>3.8</c:v>
                </c:pt>
                <c:pt idx="31">
                  <c:v>3.7</c:v>
                </c:pt>
                <c:pt idx="32">
                  <c:v>3.9</c:v>
                </c:pt>
                <c:pt idx="33">
                  <c:v>5.0999999999999996</c:v>
                </c:pt>
                <c:pt idx="34">
                  <c:v>4.5</c:v>
                </c:pt>
                <c:pt idx="35">
                  <c:v>4.5</c:v>
                </c:pt>
                <c:pt idx="36">
                  <c:v>4.7</c:v>
                </c:pt>
                <c:pt idx="37">
                  <c:v>4.4000000000000004</c:v>
                </c:pt>
                <c:pt idx="38">
                  <c:v>4.0999999999999996</c:v>
                </c:pt>
                <c:pt idx="39">
                  <c:v>4</c:v>
                </c:pt>
                <c:pt idx="40">
                  <c:v>4.4000000000000004</c:v>
                </c:pt>
                <c:pt idx="41">
                  <c:v>4.5999999999999996</c:v>
                </c:pt>
                <c:pt idx="42">
                  <c:v>4</c:v>
                </c:pt>
                <c:pt idx="43">
                  <c:v>3.3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3</c:v>
                </c:pt>
                <c:pt idx="49">
                  <c:v>4.0999999999999996</c:v>
                </c:pt>
              </c:numCache>
            </c:numRef>
          </c:xVal>
          <c:yVal>
            <c:numRef>
              <c:f>Correlación!$F$53:$F$102</c:f>
              <c:numCache>
                <c:formatCode>General</c:formatCode>
                <c:ptCount val="50"/>
                <c:pt idx="0">
                  <c:v>1.4</c:v>
                </c:pt>
                <c:pt idx="1">
                  <c:v>1.5</c:v>
                </c:pt>
                <c:pt idx="2">
                  <c:v>1.5</c:v>
                </c:pt>
                <c:pt idx="3">
                  <c:v>1.3</c:v>
                </c:pt>
                <c:pt idx="4">
                  <c:v>1.5</c:v>
                </c:pt>
                <c:pt idx="5">
                  <c:v>1.3</c:v>
                </c:pt>
                <c:pt idx="6">
                  <c:v>1.6</c:v>
                </c:pt>
                <c:pt idx="7">
                  <c:v>1</c:v>
                </c:pt>
                <c:pt idx="8">
                  <c:v>1.3</c:v>
                </c:pt>
                <c:pt idx="9">
                  <c:v>1.4</c:v>
                </c:pt>
                <c:pt idx="10">
                  <c:v>1</c:v>
                </c:pt>
                <c:pt idx="11">
                  <c:v>1.5</c:v>
                </c:pt>
                <c:pt idx="12">
                  <c:v>1</c:v>
                </c:pt>
                <c:pt idx="13">
                  <c:v>1.4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</c:v>
                </c:pt>
                <c:pt idx="18">
                  <c:v>1.5</c:v>
                </c:pt>
                <c:pt idx="19">
                  <c:v>1.1000000000000001</c:v>
                </c:pt>
                <c:pt idx="20">
                  <c:v>1.8</c:v>
                </c:pt>
                <c:pt idx="21">
                  <c:v>1.3</c:v>
                </c:pt>
                <c:pt idx="22">
                  <c:v>1.5</c:v>
                </c:pt>
                <c:pt idx="23">
                  <c:v>1.2</c:v>
                </c:pt>
                <c:pt idx="24">
                  <c:v>1.3</c:v>
                </c:pt>
                <c:pt idx="25">
                  <c:v>1.4</c:v>
                </c:pt>
                <c:pt idx="26">
                  <c:v>1.4</c:v>
                </c:pt>
                <c:pt idx="27">
                  <c:v>1.7</c:v>
                </c:pt>
                <c:pt idx="28">
                  <c:v>1.5</c:v>
                </c:pt>
                <c:pt idx="29">
                  <c:v>1</c:v>
                </c:pt>
                <c:pt idx="30">
                  <c:v>1.1000000000000001</c:v>
                </c:pt>
                <c:pt idx="31">
                  <c:v>1</c:v>
                </c:pt>
                <c:pt idx="32">
                  <c:v>1.2</c:v>
                </c:pt>
                <c:pt idx="33">
                  <c:v>1.6</c:v>
                </c:pt>
                <c:pt idx="34">
                  <c:v>1.5</c:v>
                </c:pt>
                <c:pt idx="35">
                  <c:v>1.6</c:v>
                </c:pt>
                <c:pt idx="36">
                  <c:v>1.5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1.4</c:v>
                </c:pt>
                <c:pt idx="42">
                  <c:v>1.2</c:v>
                </c:pt>
                <c:pt idx="43">
                  <c:v>1</c:v>
                </c:pt>
                <c:pt idx="44">
                  <c:v>1.3</c:v>
                </c:pt>
                <c:pt idx="45">
                  <c:v>1.2</c:v>
                </c:pt>
                <c:pt idx="46">
                  <c:v>1.3</c:v>
                </c:pt>
                <c:pt idx="47">
                  <c:v>1.3</c:v>
                </c:pt>
                <c:pt idx="48">
                  <c:v>1.1000000000000001</c:v>
                </c:pt>
                <c:pt idx="49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2-4501-9B25-153300DC7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263999"/>
        <c:axId val="325262079"/>
      </c:scatterChart>
      <c:valAx>
        <c:axId val="32526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</a:t>
                </a:r>
                <a:r>
                  <a:rPr lang="es-CO" baseline="0"/>
                  <a:t> del petalo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262079"/>
        <c:crosses val="autoZero"/>
        <c:crossBetween val="midCat"/>
      </c:valAx>
      <c:valAx>
        <c:axId val="3252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Ancho</a:t>
                </a:r>
                <a:r>
                  <a:rPr lang="es-CO" baseline="0"/>
                  <a:t> de petalo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26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 del sepalo vs longitud</a:t>
            </a:r>
            <a:r>
              <a:rPr lang="es-CO" baseline="0"/>
              <a:t> del petalo (virginica)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Correlación!$C$103:$C$152</c:f>
              <c:numCache>
                <c:formatCode>General</c:formatCode>
                <c:ptCount val="50"/>
                <c:pt idx="0">
                  <c:v>6.3</c:v>
                </c:pt>
                <c:pt idx="1">
                  <c:v>5.8</c:v>
                </c:pt>
                <c:pt idx="2">
                  <c:v>7.1</c:v>
                </c:pt>
                <c:pt idx="3">
                  <c:v>6.3</c:v>
                </c:pt>
                <c:pt idx="4">
                  <c:v>6.5</c:v>
                </c:pt>
                <c:pt idx="5">
                  <c:v>7.6</c:v>
                </c:pt>
                <c:pt idx="6">
                  <c:v>4.9000000000000004</c:v>
                </c:pt>
                <c:pt idx="7">
                  <c:v>7.3</c:v>
                </c:pt>
                <c:pt idx="8">
                  <c:v>6.7</c:v>
                </c:pt>
                <c:pt idx="9">
                  <c:v>7.2</c:v>
                </c:pt>
                <c:pt idx="10">
                  <c:v>6.5</c:v>
                </c:pt>
                <c:pt idx="11">
                  <c:v>6.4</c:v>
                </c:pt>
                <c:pt idx="12">
                  <c:v>6.8</c:v>
                </c:pt>
                <c:pt idx="13">
                  <c:v>5.7</c:v>
                </c:pt>
                <c:pt idx="14">
                  <c:v>5.8</c:v>
                </c:pt>
                <c:pt idx="15">
                  <c:v>6.4</c:v>
                </c:pt>
                <c:pt idx="16">
                  <c:v>6.5</c:v>
                </c:pt>
                <c:pt idx="17">
                  <c:v>7.7</c:v>
                </c:pt>
                <c:pt idx="18">
                  <c:v>7.7</c:v>
                </c:pt>
                <c:pt idx="19">
                  <c:v>6</c:v>
                </c:pt>
                <c:pt idx="20">
                  <c:v>6.9</c:v>
                </c:pt>
                <c:pt idx="21">
                  <c:v>5.6</c:v>
                </c:pt>
                <c:pt idx="22">
                  <c:v>7.7</c:v>
                </c:pt>
                <c:pt idx="23">
                  <c:v>6.3</c:v>
                </c:pt>
                <c:pt idx="24">
                  <c:v>6.7</c:v>
                </c:pt>
                <c:pt idx="25">
                  <c:v>7.2</c:v>
                </c:pt>
                <c:pt idx="26">
                  <c:v>6.2</c:v>
                </c:pt>
                <c:pt idx="27">
                  <c:v>6.1</c:v>
                </c:pt>
                <c:pt idx="28">
                  <c:v>6.4</c:v>
                </c:pt>
                <c:pt idx="29">
                  <c:v>7.2</c:v>
                </c:pt>
                <c:pt idx="30">
                  <c:v>7.4</c:v>
                </c:pt>
                <c:pt idx="31">
                  <c:v>7.9</c:v>
                </c:pt>
                <c:pt idx="32">
                  <c:v>6.4</c:v>
                </c:pt>
                <c:pt idx="33">
                  <c:v>6.3</c:v>
                </c:pt>
                <c:pt idx="34">
                  <c:v>6.1</c:v>
                </c:pt>
                <c:pt idx="35">
                  <c:v>7.7</c:v>
                </c:pt>
                <c:pt idx="36">
                  <c:v>6.3</c:v>
                </c:pt>
                <c:pt idx="37">
                  <c:v>6.4</c:v>
                </c:pt>
                <c:pt idx="38">
                  <c:v>6</c:v>
                </c:pt>
                <c:pt idx="39">
                  <c:v>6.9</c:v>
                </c:pt>
                <c:pt idx="40">
                  <c:v>6.7</c:v>
                </c:pt>
                <c:pt idx="41">
                  <c:v>6.9</c:v>
                </c:pt>
                <c:pt idx="42">
                  <c:v>5.8</c:v>
                </c:pt>
                <c:pt idx="43">
                  <c:v>6.8</c:v>
                </c:pt>
                <c:pt idx="44">
                  <c:v>6.7</c:v>
                </c:pt>
                <c:pt idx="45">
                  <c:v>6.7</c:v>
                </c:pt>
                <c:pt idx="46">
                  <c:v>6.3</c:v>
                </c:pt>
                <c:pt idx="47">
                  <c:v>6.5</c:v>
                </c:pt>
                <c:pt idx="48">
                  <c:v>6.2</c:v>
                </c:pt>
                <c:pt idx="49">
                  <c:v>5.9</c:v>
                </c:pt>
              </c:numCache>
            </c:numRef>
          </c:xVal>
          <c:yVal>
            <c:numRef>
              <c:f>Correlación!$E$103:$E$152</c:f>
              <c:numCache>
                <c:formatCode>General</c:formatCode>
                <c:ptCount val="50"/>
                <c:pt idx="0">
                  <c:v>6</c:v>
                </c:pt>
                <c:pt idx="1">
                  <c:v>5.0999999999999996</c:v>
                </c:pt>
                <c:pt idx="2">
                  <c:v>5.9</c:v>
                </c:pt>
                <c:pt idx="3">
                  <c:v>5.6</c:v>
                </c:pt>
                <c:pt idx="4">
                  <c:v>5.8</c:v>
                </c:pt>
                <c:pt idx="5">
                  <c:v>6.6</c:v>
                </c:pt>
                <c:pt idx="6">
                  <c:v>4.5</c:v>
                </c:pt>
                <c:pt idx="7">
                  <c:v>6.3</c:v>
                </c:pt>
                <c:pt idx="8">
                  <c:v>5.8</c:v>
                </c:pt>
                <c:pt idx="9">
                  <c:v>6.1</c:v>
                </c:pt>
                <c:pt idx="10">
                  <c:v>5.0999999999999996</c:v>
                </c:pt>
                <c:pt idx="11">
                  <c:v>5.3</c:v>
                </c:pt>
                <c:pt idx="12">
                  <c:v>5.5</c:v>
                </c:pt>
                <c:pt idx="13">
                  <c:v>5</c:v>
                </c:pt>
                <c:pt idx="14">
                  <c:v>5.0999999999999996</c:v>
                </c:pt>
                <c:pt idx="15">
                  <c:v>5.3</c:v>
                </c:pt>
                <c:pt idx="16">
                  <c:v>5.5</c:v>
                </c:pt>
                <c:pt idx="17">
                  <c:v>6.7</c:v>
                </c:pt>
                <c:pt idx="18">
                  <c:v>6.9</c:v>
                </c:pt>
                <c:pt idx="19">
                  <c:v>5</c:v>
                </c:pt>
                <c:pt idx="20">
                  <c:v>5.7</c:v>
                </c:pt>
                <c:pt idx="21">
                  <c:v>4.9000000000000004</c:v>
                </c:pt>
                <c:pt idx="22">
                  <c:v>6.7</c:v>
                </c:pt>
                <c:pt idx="23">
                  <c:v>4.9000000000000004</c:v>
                </c:pt>
                <c:pt idx="24">
                  <c:v>5.7</c:v>
                </c:pt>
                <c:pt idx="25">
                  <c:v>6</c:v>
                </c:pt>
                <c:pt idx="26">
                  <c:v>4.8</c:v>
                </c:pt>
                <c:pt idx="27">
                  <c:v>4.9000000000000004</c:v>
                </c:pt>
                <c:pt idx="28">
                  <c:v>5.6</c:v>
                </c:pt>
                <c:pt idx="29">
                  <c:v>5.8</c:v>
                </c:pt>
                <c:pt idx="30">
                  <c:v>6.1</c:v>
                </c:pt>
                <c:pt idx="31">
                  <c:v>6.4</c:v>
                </c:pt>
                <c:pt idx="32">
                  <c:v>5.6</c:v>
                </c:pt>
                <c:pt idx="33">
                  <c:v>5.0999999999999996</c:v>
                </c:pt>
                <c:pt idx="34">
                  <c:v>5.6</c:v>
                </c:pt>
                <c:pt idx="35">
                  <c:v>6.1</c:v>
                </c:pt>
                <c:pt idx="36">
                  <c:v>5.6</c:v>
                </c:pt>
                <c:pt idx="37">
                  <c:v>5.5</c:v>
                </c:pt>
                <c:pt idx="38">
                  <c:v>4.8</c:v>
                </c:pt>
                <c:pt idx="39">
                  <c:v>5.4</c:v>
                </c:pt>
                <c:pt idx="40">
                  <c:v>5.6</c:v>
                </c:pt>
                <c:pt idx="41">
                  <c:v>5.0999999999999996</c:v>
                </c:pt>
                <c:pt idx="42">
                  <c:v>5.0999999999999996</c:v>
                </c:pt>
                <c:pt idx="43">
                  <c:v>5.9</c:v>
                </c:pt>
                <c:pt idx="44">
                  <c:v>5.7</c:v>
                </c:pt>
                <c:pt idx="45">
                  <c:v>5.2</c:v>
                </c:pt>
                <c:pt idx="46">
                  <c:v>5</c:v>
                </c:pt>
                <c:pt idx="47">
                  <c:v>5.2</c:v>
                </c:pt>
                <c:pt idx="48">
                  <c:v>5.4</c:v>
                </c:pt>
                <c:pt idx="4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2-45E1-8437-B0AC5F1EF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275039"/>
        <c:axId val="325269279"/>
      </c:scatterChart>
      <c:valAx>
        <c:axId val="32527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</a:t>
                </a:r>
                <a:r>
                  <a:rPr lang="es-CO" baseline="0"/>
                  <a:t> del sepalo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269279"/>
        <c:crosses val="autoZero"/>
        <c:crossBetween val="midCat"/>
      </c:valAx>
      <c:valAx>
        <c:axId val="32526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del petalo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527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</a:t>
            </a:r>
            <a:r>
              <a:rPr lang="es-CO" baseline="0"/>
              <a:t> del sepalo vs longitud del petalo (global)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Correlación!$C$3:$C$152</c:f>
              <c:numCache>
                <c:formatCode>General</c:formatCode>
                <c:ptCount val="1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4.9000000000000004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5.0999999999999996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4.9000000000000004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xVal>
          <c:yVal>
            <c:numRef>
              <c:f>Correlación!$E$3:$E$152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1.4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A-4669-A794-026A18A8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371631"/>
        <c:axId val="377356751"/>
      </c:scatterChart>
      <c:valAx>
        <c:axId val="37737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</a:t>
                </a:r>
                <a:r>
                  <a:rPr lang="es-CO" baseline="0"/>
                  <a:t> del sepalo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7356751"/>
        <c:crosses val="autoZero"/>
        <c:crossBetween val="midCat"/>
      </c:valAx>
      <c:valAx>
        <c:axId val="3773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del petalo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737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</a:t>
            </a:r>
            <a:r>
              <a:rPr lang="es-CO" baseline="0"/>
              <a:t> del sepalo vs longitud del petalo (global)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Correlación!$C$3:$C$152</c:f>
              <c:numCache>
                <c:formatCode>General</c:formatCode>
                <c:ptCount val="1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4.9000000000000004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5.0999999999999996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4.9000000000000004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xVal>
          <c:yVal>
            <c:numRef>
              <c:f>Correlación!$F$3:$F$152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D-4D1B-85A2-C3FCF200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363951"/>
        <c:axId val="377370671"/>
      </c:scatterChart>
      <c:valAx>
        <c:axId val="37736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del sepalo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7370671"/>
        <c:crosses val="autoZero"/>
        <c:crossBetween val="midCat"/>
      </c:valAx>
      <c:valAx>
        <c:axId val="3773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del petalo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736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Longitud del petalo vs ancho del petalo (global)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Correlación!$E$3:$E$152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1.4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xVal>
          <c:yVal>
            <c:numRef>
              <c:f>Correlación!$F$3:$F$152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B-4FCB-9D1C-9B7B51CE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045007"/>
        <c:axId val="367050767"/>
      </c:scatterChart>
      <c:valAx>
        <c:axId val="36704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</a:t>
                </a:r>
                <a:r>
                  <a:rPr lang="es-CO" baseline="0"/>
                  <a:t> del petalo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7050767"/>
        <c:crosses val="autoZero"/>
        <c:crossBetween val="midCat"/>
      </c:valAx>
      <c:valAx>
        <c:axId val="3670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Ancho del petalo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704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Longitud de Sepalo (Setosa)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 Sepalo (Setosa)</a:t>
          </a:r>
        </a:p>
      </cx:txPr>
    </cx:title>
    <cx:plotArea>
      <cx:plotAreaRegion>
        <cx:series layoutId="clusteredColumn" uniqueId="{7D42262E-6597-4FE4-9466-E2C5B8889E9D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Longitud de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Ancho de Sepalo (Setosa)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 Sepalo (Setosa)</a:t>
          </a:r>
        </a:p>
      </cx:txPr>
    </cx:title>
    <cx:plotArea>
      <cx:plotAreaRegion>
        <cx:series layoutId="clusteredColumn" uniqueId="{0F5A7994-2D59-4509-BA4B-D8B8F54A3F59}"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Ancho de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absoulta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absoulta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Longitud de petalo (Setosa)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 petalo (Setosa)</a:t>
          </a:r>
        </a:p>
      </cx:txPr>
    </cx:title>
    <cx:plotArea>
      <cx:plotAreaRegion>
        <cx:series layoutId="clusteredColumn" uniqueId="{60A98151-7D5B-4AF2-95F5-A11DBAEA1642}"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Longitud de petalo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petalo agrupada</a:t>
              </a:r>
            </a:p>
          </cx:txPr>
        </cx:title>
        <cx:tickLabels/>
      </cx:axis>
      <cx:axis id="1">
        <cx:valScaling/>
        <cx:title>
          <cx:tx>
            <cx:txData>
              <cx:v> 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 Frecuencia absoluta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Ancho de petalo (Setosa)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 petalo (Setosa)</a:t>
          </a:r>
        </a:p>
      </cx:txPr>
    </cx:title>
    <cx:plotArea>
      <cx:plotAreaRegion>
        <cx:series layoutId="clusteredColumn" uniqueId="{DA02AFD7-6224-4ED9-ADC9-BBAD931651A5}"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Ancho de petalo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 petalo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Longitud de Sepalo (Versicolor)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 Sepalo (Versicolor)</a:t>
          </a:r>
        </a:p>
      </cx:txPr>
    </cx:title>
    <cx:plotArea>
      <cx:plotAreaRegion>
        <cx:series layoutId="clusteredColumn" uniqueId="{4ABC5B5C-10C6-4974-A4C0-E983CC872474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Longitud de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Ancho de Sepalo (Versicolor)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 Sepalo (Versicolor)</a:t>
          </a:r>
        </a:p>
      </cx:txPr>
    </cx:title>
    <cx:plotArea>
      <cx:plotAreaRegion>
        <cx:series layoutId="clusteredColumn" uniqueId="{2C7301F7-2B74-4AF9-952F-4CC9648A18DC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Ancho de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Longitud del petalo (Versicolor)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del petalo (Versicolor)</a:t>
          </a:r>
        </a:p>
      </cx:txPr>
    </cx:title>
    <cx:plotArea>
      <cx:plotAreaRegion>
        <cx:series layoutId="clusteredColumn" uniqueId="{C6F3E115-DEF0-4016-990D-97257D4DFEC9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Longitud de petalo agruapada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petalo agruapada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Ancho del petalo (Versicolor)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del petalo (Versicolor)</a:t>
          </a:r>
        </a:p>
      </cx:txPr>
    </cx:title>
    <cx:plotArea>
      <cx:plotAreaRegion>
        <cx:series layoutId="clusteredColumn" uniqueId="{0CAA8480-B56C-4E77-A49D-85C6EC358844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Ancho del petalo agruapada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del petalo agruapada</a:t>
              </a:r>
            </a:p>
          </cx:txPr>
        </cx:title>
        <cx:tickLabels/>
      </cx:axis>
      <cx:axis id="1">
        <cx:valScaling/>
        <cx:title>
          <cx:tx>
            <cx:txData>
              <cx:v> 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 Frecuencia absoluta</a:t>
              </a:r>
            </a:p>
          </cx:txPr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Longitud de Sepalo (virginica)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 Sepalo (virginica)</a:t>
          </a:r>
        </a:p>
      </cx:txPr>
    </cx:title>
    <cx:plotArea>
      <cx:plotAreaRegion>
        <cx:series layoutId="clusteredColumn" uniqueId="{06C8844D-40B7-4B46-9920-EE5E74F58488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Longitud de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Ancho del sepalo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del sepalo</a:t>
          </a:r>
        </a:p>
      </cx:txPr>
    </cx:title>
    <cx:plotArea>
      <cx:plotAreaRegion>
        <cx:series layoutId="clusteredColumn" uniqueId="{F05AB818-ABCD-43C8-95A4-345C572C848F}"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Ancho dels 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dels 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Longitud de petalo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 petalo</a:t>
          </a:r>
        </a:p>
      </cx:txPr>
    </cx:title>
    <cx:plotArea>
      <cx:plotAreaRegion>
        <cx:series layoutId="clusteredColumn" uniqueId="{EBEB8813-65F6-4654-875E-EBB8FC8FE873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Longitud de petalo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petalo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Ancho de petalo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 petalo</a:t>
          </a:r>
        </a:p>
      </cx:txPr>
    </cx:title>
    <cx:plotArea>
      <cx:plotAreaRegion>
        <cx:series layoutId="clusteredColumn" uniqueId="{D58F7C35-E2BB-4909-9EB4-2D1148691312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Ancho de petalo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 petalo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Longitud del sepalo (Global)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del sepalo (Global)</a:t>
          </a:r>
        </a:p>
      </cx:txPr>
    </cx:title>
    <cx:plotArea>
      <cx:plotAreaRegion>
        <cx:series layoutId="clusteredColumn" uniqueId="{2AB9F498-4D84-4191-84F7-4678BB803DEF}">
          <cx:dataLabels>
            <cx:visibility seriesName="0" categoryName="0" value="1"/>
          </cx:dataLabels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txData>
              <cx:v>Longitud del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del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Ancho del sepalo (Global)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del sepalo (Global)</a:t>
          </a:r>
        </a:p>
      </cx:txPr>
    </cx:title>
    <cx:plotArea>
      <cx:plotAreaRegion>
        <cx:series layoutId="clusteredColumn" uniqueId="{665C093E-59C0-40B0-925F-D62EB330953D}">
          <cx:dataLabels>
            <cx:visibility seriesName="0" categoryName="0" value="1"/>
          </cx:dataLabels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txData>
              <cx:v>Ancho del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del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Longitud de petalo (Global)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 petalo (Global)</a:t>
          </a:r>
        </a:p>
      </cx:txPr>
    </cx:title>
    <cx:plotArea>
      <cx:plotAreaRegion>
        <cx:series layoutId="clusteredColumn" uniqueId="{AFE6F1C7-7244-4D95-B80D-CC15D6C56C3E}"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Longitud de sepalo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 sepalo agrupada</a:t>
              </a:r>
            </a:p>
          </cx:txPr>
        </cx:title>
        <cx:tickLabels/>
      </cx:axis>
      <cx:axis id="1">
        <cx:valScaling/>
        <cx:title>
          <cx:tx>
            <cx:txData>
              <cx:v>Frecuencai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Frecuencai absoluta</a:t>
              </a:r>
            </a:p>
          </cx:txPr>
        </cx:title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Ancho del petalo (Global)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del petalo (Global)</a:t>
          </a:r>
        </a:p>
      </cx:txPr>
    </cx:title>
    <cx:plotArea>
      <cx:plotAreaRegion>
        <cx:series layoutId="clusteredColumn" uniqueId="{A4DB3044-671B-4CCA-80A1-D2203D040DBD}"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Ancho del petalo agrupada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del petalo agrupada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Frecuencia absoluta</a:t>
              </a:r>
            </a:p>
          </cx:txPr>
        </cx:title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_xlchart.v1.18</cx:f>
      </cx:numDim>
    </cx:data>
  </cx:chartData>
  <cx:chart>
    <cx:title pos="t" align="ctr" overlay="0">
      <cx:tx>
        <cx:txData>
          <cx:v>Longitud del sepalo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del sepalo</a:t>
          </a:r>
        </a:p>
      </cx:txPr>
    </cx:title>
    <cx:plotArea>
      <cx:plotAreaRegion>
        <cx:series layoutId="boxWhisker" uniqueId="{26F4B7E5-B0BF-4DBD-A97D-2B37E2B6E6D7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Especie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Especie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 w="9525">
                  <a:noFill/>
                </a:ln>
              </a:defRPr>
            </a:pPr>
            <a:endParaRPr lang="en-US" sz="900" b="0" i="0" u="none" strike="noStrike" baseline="0">
              <a:ln w="9525"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endParaRPr>
          </a:p>
        </cx:txPr>
      </cx:axis>
      <cx:axis id="1">
        <cx:valScaling/>
        <cx:title>
          <cx:tx>
            <cx:txData>
              <cx:v> Longitud del Sepalo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 Longitud del Sepalo</a:t>
              </a:r>
            </a:p>
          </cx:txPr>
        </cx:title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val">
        <cx:f>_xlchart.v1.22</cx:f>
      </cx:numDim>
    </cx:data>
  </cx:chartData>
  <cx:chart>
    <cx:title pos="t" align="ctr" overlay="0">
      <cx:tx>
        <cx:txData>
          <cx:v>Ancho del sepalo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del sepalo</a:t>
          </a:r>
        </a:p>
      </cx:txPr>
    </cx:title>
    <cx:plotArea>
      <cx:plotAreaRegion>
        <cx:series layoutId="boxWhisker" uniqueId="{6AE0F8A2-4800-45A4-B53F-1D98457AB46B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Especie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Especie</a:t>
              </a:r>
            </a:p>
          </cx:txPr>
        </cx:title>
        <cx:tickLabels/>
      </cx:axis>
      <cx:axis id="1">
        <cx:valScaling/>
        <cx:title>
          <cx:tx>
            <cx:txData>
              <cx:v>Ancho del sepalo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del sepalo</a:t>
              </a:r>
            </a:p>
          </cx:txPr>
        </cx:title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_xlchart.v1.20</cx:f>
      </cx:numDim>
    </cx:data>
  </cx:chartData>
  <cx:chart>
    <cx:title pos="t" align="ctr" overlay="0">
      <cx:tx>
        <cx:txData>
          <cx:v>Longitud del petalo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Longitud del petalo</a:t>
          </a:r>
        </a:p>
      </cx:txPr>
    </cx:title>
    <cx:plotArea>
      <cx:plotAreaRegion>
        <cx:series layoutId="boxWhisker" uniqueId="{56389305-87DE-4293-A509-57F08F34C434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Especie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Especie</a:t>
              </a:r>
            </a:p>
          </cx:txPr>
        </cx:title>
        <cx:tickLabels/>
      </cx:axis>
      <cx:axis id="1">
        <cx:valScaling/>
        <cx:title>
          <cx:tx>
            <cx:txData>
              <cx:v>Longitud del petalo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Longitud del petalo</a:t>
              </a:r>
            </a:p>
          </cx:txPr>
        </cx:title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_xlchart.v1.16</cx:f>
      </cx:numDim>
    </cx:data>
  </cx:chartData>
  <cx:chart>
    <cx:title pos="t" align="ctr" overlay="0">
      <cx:tx>
        <cx:txData>
          <cx:v>Ancho del petalo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/>
            </a:rPr>
            <a:t>Ancho del petalo</a:t>
          </a:r>
        </a:p>
      </cx:txPr>
    </cx:title>
    <cx:plotArea>
      <cx:plotAreaRegion>
        <cx:series layoutId="boxWhisker" uniqueId="{C44D9106-D027-460C-8400-DA367A4AF15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Especie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Especie</a:t>
              </a:r>
            </a:p>
          </cx:txPr>
        </cx:title>
        <cx:tickLabels/>
      </cx:axis>
      <cx:axis id="1">
        <cx:valScaling/>
        <cx:title>
          <cx:tx>
            <cx:txData>
              <cx:v>Ancho del petalo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Arial"/>
                </a:rPr>
                <a:t>Ancho del petalo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6" Type="http://schemas.microsoft.com/office/2014/relationships/chartEx" Target="../charts/chartEx16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9.xml"/><Relationship Id="rId2" Type="http://schemas.microsoft.com/office/2014/relationships/chartEx" Target="../charts/chartEx18.xml"/><Relationship Id="rId1" Type="http://schemas.microsoft.com/office/2014/relationships/chartEx" Target="../charts/chartEx17.xml"/><Relationship Id="rId4" Type="http://schemas.microsoft.com/office/2014/relationships/chartEx" Target="../charts/chartEx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285750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CBBF2-C1B5-4E90-809B-C8D11E0D1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133350</xdr:rowOff>
    </xdr:from>
    <xdr:to>
      <xdr:col>15</xdr:col>
      <xdr:colOff>285750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650CD-2057-4954-A259-2F7CF9DCF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35</xdr:row>
      <xdr:rowOff>9525</xdr:rowOff>
    </xdr:from>
    <xdr:to>
      <xdr:col>15</xdr:col>
      <xdr:colOff>285750</xdr:colOff>
      <xdr:row>49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5B5036-9C62-485F-B244-47ACADE66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50</xdr:row>
      <xdr:rowOff>152400</xdr:rowOff>
    </xdr:from>
    <xdr:to>
      <xdr:col>15</xdr:col>
      <xdr:colOff>285750</xdr:colOff>
      <xdr:row>65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28B2F1-DAF4-441D-A670-580B5EC40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285750</xdr:colOff>
      <xdr:row>17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313C08-60E9-4754-98B8-5AADFAD38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18</xdr:row>
      <xdr:rowOff>133350</xdr:rowOff>
    </xdr:from>
    <xdr:to>
      <xdr:col>15</xdr:col>
      <xdr:colOff>285750</xdr:colOff>
      <xdr:row>34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5D395A-1BFA-4DE3-B93C-94F6A45FA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35</xdr:row>
      <xdr:rowOff>9525</xdr:rowOff>
    </xdr:from>
    <xdr:to>
      <xdr:col>15</xdr:col>
      <xdr:colOff>285750</xdr:colOff>
      <xdr:row>49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5B6C04-306C-4703-9E20-EE608C997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50</xdr:row>
      <xdr:rowOff>152400</xdr:rowOff>
    </xdr:from>
    <xdr:to>
      <xdr:col>15</xdr:col>
      <xdr:colOff>285750</xdr:colOff>
      <xdr:row>65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58AE28-76BE-484A-84B0-2DEB18E8B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800099</xdr:colOff>
      <xdr:row>69</xdr:row>
      <xdr:rowOff>180973</xdr:rowOff>
    </xdr:from>
    <xdr:to>
      <xdr:col>7</xdr:col>
      <xdr:colOff>581023</xdr:colOff>
      <xdr:row>85</xdr:row>
      <xdr:rowOff>9521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16166-017D-44B9-AFF1-AB42CBDFB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800099</xdr:colOff>
      <xdr:row>86</xdr:row>
      <xdr:rowOff>28574</xdr:rowOff>
    </xdr:from>
    <xdr:to>
      <xdr:col>7</xdr:col>
      <xdr:colOff>581024</xdr:colOff>
      <xdr:row>101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35F42-EB3C-42CB-8226-4A435E0CA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800099</xdr:colOff>
      <xdr:row>102</xdr:row>
      <xdr:rowOff>9524</xdr:rowOff>
    </xdr:from>
    <xdr:to>
      <xdr:col>7</xdr:col>
      <xdr:colOff>581024</xdr:colOff>
      <xdr:row>117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F28B80-BDEB-4922-A654-1B50471D5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800100</xdr:colOff>
      <xdr:row>117</xdr:row>
      <xdr:rowOff>180974</xdr:rowOff>
    </xdr:from>
    <xdr:to>
      <xdr:col>7</xdr:col>
      <xdr:colOff>581024</xdr:colOff>
      <xdr:row>133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286305-7ABC-4D2E-BA62-1D02B242F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495299</xdr:colOff>
      <xdr:row>69</xdr:row>
      <xdr:rowOff>180974</xdr:rowOff>
    </xdr:from>
    <xdr:to>
      <xdr:col>17</xdr:col>
      <xdr:colOff>238124</xdr:colOff>
      <xdr:row>85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F58FE4-59D7-4D25-9138-E42795910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495299</xdr:colOff>
      <xdr:row>85</xdr:row>
      <xdr:rowOff>161924</xdr:rowOff>
    </xdr:from>
    <xdr:to>
      <xdr:col>17</xdr:col>
      <xdr:colOff>238124</xdr:colOff>
      <xdr:row>100</xdr:row>
      <xdr:rowOff>171449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D622F6-3BC5-4FB2-A880-DB1E183D0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495299</xdr:colOff>
      <xdr:row>102</xdr:row>
      <xdr:rowOff>9524</xdr:rowOff>
    </xdr:from>
    <xdr:to>
      <xdr:col>17</xdr:col>
      <xdr:colOff>238124</xdr:colOff>
      <xdr:row>117</xdr:row>
      <xdr:rowOff>19049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A95396-339C-4B3D-8568-016D80499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495299</xdr:colOff>
      <xdr:row>117</xdr:row>
      <xdr:rowOff>180974</xdr:rowOff>
    </xdr:from>
    <xdr:to>
      <xdr:col>17</xdr:col>
      <xdr:colOff>238124</xdr:colOff>
      <xdr:row>133</xdr:row>
      <xdr:rowOff>9524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09C83C-A727-406A-9BF7-37B185A30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190499</xdr:colOff>
      <xdr:row>69</xdr:row>
      <xdr:rowOff>180974</xdr:rowOff>
    </xdr:from>
    <xdr:to>
      <xdr:col>26</xdr:col>
      <xdr:colOff>476249</xdr:colOff>
      <xdr:row>85</xdr:row>
      <xdr:rowOff>9524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C62331-F2C7-40CF-90B5-71F6B3DC4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190499</xdr:colOff>
      <xdr:row>85</xdr:row>
      <xdr:rowOff>161924</xdr:rowOff>
    </xdr:from>
    <xdr:to>
      <xdr:col>26</xdr:col>
      <xdr:colOff>476249</xdr:colOff>
      <xdr:row>100</xdr:row>
      <xdr:rowOff>171449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B6879B-3D66-4B91-A644-9081B7985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190499</xdr:colOff>
      <xdr:row>102</xdr:row>
      <xdr:rowOff>9524</xdr:rowOff>
    </xdr:from>
    <xdr:to>
      <xdr:col>26</xdr:col>
      <xdr:colOff>476249</xdr:colOff>
      <xdr:row>117</xdr:row>
      <xdr:rowOff>19049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915D91-A225-469E-A323-BBE9D1804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190499</xdr:colOff>
      <xdr:row>117</xdr:row>
      <xdr:rowOff>180974</xdr:rowOff>
    </xdr:from>
    <xdr:to>
      <xdr:col>26</xdr:col>
      <xdr:colOff>476249</xdr:colOff>
      <xdr:row>133</xdr:row>
      <xdr:rowOff>9524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D0A022-B3FE-4279-BCB4-9193C1FE9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</xdr:row>
      <xdr:rowOff>195261</xdr:rowOff>
    </xdr:from>
    <xdr:to>
      <xdr:col>16</xdr:col>
      <xdr:colOff>123825</xdr:colOff>
      <xdr:row>26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DBEC05-27C7-5154-D6E4-D217F2C994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0225" y="395286"/>
              <a:ext cx="5905500" cy="4633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323849</xdr:colOff>
      <xdr:row>1</xdr:row>
      <xdr:rowOff>195261</xdr:rowOff>
    </xdr:from>
    <xdr:to>
      <xdr:col>26</xdr:col>
      <xdr:colOff>200024</xdr:colOff>
      <xdr:row>26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21960F0-CEB3-668A-CF72-CE9959E3BB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5749" y="395286"/>
              <a:ext cx="5972175" cy="4672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27</xdr:row>
      <xdr:rowOff>14286</xdr:rowOff>
    </xdr:from>
    <xdr:to>
      <xdr:col>16</xdr:col>
      <xdr:colOff>133350</xdr:colOff>
      <xdr:row>51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45017CA-9558-D059-3301-9B19FD024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0" y="5176836"/>
              <a:ext cx="5905500" cy="4652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304800</xdr:colOff>
      <xdr:row>27</xdr:row>
      <xdr:rowOff>23811</xdr:rowOff>
    </xdr:from>
    <xdr:to>
      <xdr:col>26</xdr:col>
      <xdr:colOff>114300</xdr:colOff>
      <xdr:row>51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76F1490-CBA1-A161-1A1F-196616457E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6700" y="5186361"/>
              <a:ext cx="5905500" cy="4691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533400</xdr:colOff>
      <xdr:row>53</xdr:row>
      <xdr:rowOff>119061</xdr:rowOff>
    </xdr:from>
    <xdr:to>
      <xdr:col>16</xdr:col>
      <xdr:colOff>57150</xdr:colOff>
      <xdr:row>77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4DE0679-960E-650E-6AD3-5135FECEB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3550" y="10234611"/>
              <a:ext cx="5905500" cy="4633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381000</xdr:colOff>
      <xdr:row>53</xdr:row>
      <xdr:rowOff>128587</xdr:rowOff>
    </xdr:from>
    <xdr:to>
      <xdr:col>26</xdr:col>
      <xdr:colOff>190500</xdr:colOff>
      <xdr:row>77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F0D5F10-FC69-E5E7-4755-C85BFBFDCA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0" y="10244137"/>
              <a:ext cx="5905500" cy="4624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78</xdr:row>
      <xdr:rowOff>157161</xdr:rowOff>
    </xdr:from>
    <xdr:to>
      <xdr:col>16</xdr:col>
      <xdr:colOff>57150</xdr:colOff>
      <xdr:row>102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B4356944-2F34-A30D-C30D-9B0107BCAD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1650" y="15035211"/>
              <a:ext cx="5867400" cy="4595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342899</xdr:colOff>
      <xdr:row>78</xdr:row>
      <xdr:rowOff>185736</xdr:rowOff>
    </xdr:from>
    <xdr:to>
      <xdr:col>26</xdr:col>
      <xdr:colOff>66674</xdr:colOff>
      <xdr:row>102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A07A480-C988-BCE7-5BE9-9A94CD36F1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4799" y="15063786"/>
              <a:ext cx="5819775" cy="4576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542925</xdr:colOff>
      <xdr:row>104</xdr:row>
      <xdr:rowOff>100011</xdr:rowOff>
    </xdr:from>
    <xdr:to>
      <xdr:col>15</xdr:col>
      <xdr:colOff>590550</xdr:colOff>
      <xdr:row>128</xdr:row>
      <xdr:rowOff>104774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124A3899-6E86-2D4B-1BC5-C7BA41D2C3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3075" y="19931061"/>
              <a:ext cx="5819775" cy="4576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342900</xdr:colOff>
      <xdr:row>104</xdr:row>
      <xdr:rowOff>119062</xdr:rowOff>
    </xdr:from>
    <xdr:to>
      <xdr:col>26</xdr:col>
      <xdr:colOff>38100</xdr:colOff>
      <xdr:row>128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BD6EC2BB-B9A6-1BB4-1A13-97577F22D1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4800" y="19950112"/>
              <a:ext cx="5791200" cy="4567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590549</xdr:colOff>
      <xdr:row>130</xdr:row>
      <xdr:rowOff>61911</xdr:rowOff>
    </xdr:from>
    <xdr:to>
      <xdr:col>16</xdr:col>
      <xdr:colOff>66674</xdr:colOff>
      <xdr:row>154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8DE46756-DAD3-AE04-6E9C-49D375B378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699" y="24845961"/>
              <a:ext cx="5857875" cy="4576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352425</xdr:colOff>
      <xdr:row>130</xdr:row>
      <xdr:rowOff>61911</xdr:rowOff>
    </xdr:from>
    <xdr:to>
      <xdr:col>26</xdr:col>
      <xdr:colOff>161925</xdr:colOff>
      <xdr:row>154</xdr:row>
      <xdr:rowOff>38099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B9EA10F3-6007-26E8-5115-21A3B0E41C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4325" y="24845961"/>
              <a:ext cx="5905500" cy="4557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190499</xdr:colOff>
      <xdr:row>2</xdr:row>
      <xdr:rowOff>65810</xdr:rowOff>
    </xdr:from>
    <xdr:to>
      <xdr:col>44</xdr:col>
      <xdr:colOff>536863</xdr:colOff>
      <xdr:row>29</xdr:row>
      <xdr:rowOff>69273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5C9CBE-A8C9-BF42-8663-BD256B47F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26399" y="465860"/>
              <a:ext cx="8271164" cy="5146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217713</xdr:colOff>
      <xdr:row>32</xdr:row>
      <xdr:rowOff>91168</xdr:rowOff>
    </xdr:from>
    <xdr:to>
      <xdr:col>45</xdr:col>
      <xdr:colOff>108857</xdr:colOff>
      <xdr:row>61</xdr:row>
      <xdr:rowOff>61231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6F0B6FA-D606-DD6E-56B1-3DBED127DD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53613" y="6206218"/>
              <a:ext cx="8425544" cy="54945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548367</xdr:colOff>
      <xdr:row>62</xdr:row>
      <xdr:rowOff>28202</xdr:rowOff>
    </xdr:from>
    <xdr:to>
      <xdr:col>44</xdr:col>
      <xdr:colOff>159884</xdr:colOff>
      <xdr:row>91</xdr:row>
      <xdr:rowOff>115660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6E47A2A-FECA-5328-93F3-3BFD679F4B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4667" y="11858252"/>
              <a:ext cx="8145917" cy="5611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533880</xdr:colOff>
      <xdr:row>93</xdr:row>
      <xdr:rowOff>141994</xdr:rowOff>
    </xdr:from>
    <xdr:to>
      <xdr:col>44</xdr:col>
      <xdr:colOff>156883</xdr:colOff>
      <xdr:row>123</xdr:row>
      <xdr:rowOff>56029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EB67FAE0-F7DF-E2EC-2F5B-C7E10D2FE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60180" y="17877544"/>
              <a:ext cx="8157403" cy="5629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157162</xdr:rowOff>
    </xdr:from>
    <xdr:to>
      <xdr:col>17</xdr:col>
      <xdr:colOff>455544</xdr:colOff>
      <xdr:row>28</xdr:row>
      <xdr:rowOff>33130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51563D0-2CBB-4D3B-9531-B937ADFE69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5" y="347662"/>
              <a:ext cx="7484994" cy="50385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604837</xdr:colOff>
      <xdr:row>29</xdr:row>
      <xdr:rowOff>152400</xdr:rowOff>
    </xdr:from>
    <xdr:to>
      <xdr:col>17</xdr:col>
      <xdr:colOff>438150</xdr:colOff>
      <xdr:row>56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F679060-DD71-4A16-B768-5ECE830DA7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2187" y="5695950"/>
              <a:ext cx="7481888" cy="501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14286</xdr:colOff>
      <xdr:row>57</xdr:row>
      <xdr:rowOff>147637</xdr:rowOff>
    </xdr:from>
    <xdr:to>
      <xdr:col>17</xdr:col>
      <xdr:colOff>476250</xdr:colOff>
      <xdr:row>84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58F9EA6-514E-4FB5-98A6-7B2169D7E8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1236" y="11025187"/>
              <a:ext cx="7500939" cy="5053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23811</xdr:colOff>
      <xdr:row>86</xdr:row>
      <xdr:rowOff>9525</xdr:rowOff>
    </xdr:from>
    <xdr:to>
      <xdr:col>17</xdr:col>
      <xdr:colOff>457199</xdr:colOff>
      <xdr:row>112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4F0F5AF-BE0E-4A13-9AC8-458E843802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0761" y="16411575"/>
              <a:ext cx="7472363" cy="501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31</xdr:row>
      <xdr:rowOff>4762</xdr:rowOff>
    </xdr:from>
    <xdr:to>
      <xdr:col>12</xdr:col>
      <xdr:colOff>857250</xdr:colOff>
      <xdr:row>45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50C32-9814-BA86-03A5-5E6C992F0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595312</xdr:colOff>
      <xdr:row>48</xdr:row>
      <xdr:rowOff>14287</xdr:rowOff>
    </xdr:from>
    <xdr:to>
      <xdr:col>12</xdr:col>
      <xdr:colOff>862012</xdr:colOff>
      <xdr:row>62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4EB076-F808-D68B-5EC7-9E17D21FC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585787</xdr:colOff>
      <xdr:row>64</xdr:row>
      <xdr:rowOff>33337</xdr:rowOff>
    </xdr:from>
    <xdr:to>
      <xdr:col>12</xdr:col>
      <xdr:colOff>852487</xdr:colOff>
      <xdr:row>78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FE27AE-4826-D70D-09CA-52BA2F5CB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566737</xdr:colOff>
      <xdr:row>80</xdr:row>
      <xdr:rowOff>71437</xdr:rowOff>
    </xdr:from>
    <xdr:to>
      <xdr:col>12</xdr:col>
      <xdr:colOff>833437</xdr:colOff>
      <xdr:row>94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54E2A6-F756-EBCD-B76C-47FA1E31E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195262</xdr:colOff>
      <xdr:row>31</xdr:row>
      <xdr:rowOff>61912</xdr:rowOff>
    </xdr:from>
    <xdr:to>
      <xdr:col>18</xdr:col>
      <xdr:colOff>100012</xdr:colOff>
      <xdr:row>45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711DCB-828E-5446-FC4A-A26368A48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280987</xdr:colOff>
      <xdr:row>47</xdr:row>
      <xdr:rowOff>138112</xdr:rowOff>
    </xdr:from>
    <xdr:to>
      <xdr:col>18</xdr:col>
      <xdr:colOff>185737</xdr:colOff>
      <xdr:row>62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C8DB98-AD20-8EE8-6D36-DC1BE28F6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195262</xdr:colOff>
      <xdr:row>64</xdr:row>
      <xdr:rowOff>71437</xdr:rowOff>
    </xdr:from>
    <xdr:to>
      <xdr:col>18</xdr:col>
      <xdr:colOff>100012</xdr:colOff>
      <xdr:row>78</xdr:row>
      <xdr:rowOff>147637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7EEB102-C195-0C9C-FB54-ECC9F58EB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ev\OneDrive\Documentos\Tercer%20semestre\Procesamiento%20de%20datos\Talleres\Taller%201\Taller%201.2.xlsx" TargetMode="External"/><Relationship Id="rId1" Type="http://schemas.openxmlformats.org/officeDocument/2006/relationships/externalLinkPath" Target="Taller%201.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ev\OneDrive\Documentos\Tercer%20semestre\Procesamiento%20de%20datos\Talleres\Taller%201\Taller%201.xlsx" TargetMode="External"/><Relationship Id="rId1" Type="http://schemas.openxmlformats.org/officeDocument/2006/relationships/externalLinkPath" Target="Tall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s de datos"/>
      <sheetName val="Estadisticas descriptivas"/>
      <sheetName val="Construcción de intervalos 1.1"/>
      <sheetName val="Construcción de intervalos"/>
      <sheetName val="Est.D Agrupadas"/>
    </sheetNames>
    <sheetDataSet>
      <sheetData sheetId="0">
        <row r="3">
          <cell r="C3" t="str">
            <v>Sepal.Length</v>
          </cell>
          <cell r="D3" t="str">
            <v>Sepal.Width</v>
          </cell>
          <cell r="E3" t="str">
            <v>Petal.Length</v>
          </cell>
          <cell r="F3" t="str">
            <v>Petal.Width</v>
          </cell>
          <cell r="G3" t="str">
            <v>Species</v>
          </cell>
        </row>
        <row r="4">
          <cell r="C4">
            <v>5.0999999999999996</v>
          </cell>
          <cell r="D4">
            <v>3.5</v>
          </cell>
          <cell r="E4">
            <v>1.4</v>
          </cell>
          <cell r="F4">
            <v>0.2</v>
          </cell>
          <cell r="G4" t="str">
            <v>setosa</v>
          </cell>
        </row>
        <row r="5">
          <cell r="C5">
            <v>4.9000000000000004</v>
          </cell>
          <cell r="D5">
            <v>3</v>
          </cell>
          <cell r="E5">
            <v>1.4</v>
          </cell>
          <cell r="F5">
            <v>0.2</v>
          </cell>
          <cell r="G5" t="str">
            <v>setosa</v>
          </cell>
        </row>
        <row r="6">
          <cell r="C6">
            <v>4.7</v>
          </cell>
          <cell r="D6">
            <v>3.2</v>
          </cell>
          <cell r="E6">
            <v>1.3</v>
          </cell>
          <cell r="F6">
            <v>0.2</v>
          </cell>
          <cell r="G6" t="str">
            <v>setosa</v>
          </cell>
        </row>
        <row r="7">
          <cell r="C7">
            <v>4.5999999999999996</v>
          </cell>
          <cell r="D7">
            <v>3.1</v>
          </cell>
          <cell r="E7">
            <v>1.5</v>
          </cell>
          <cell r="F7">
            <v>0.2</v>
          </cell>
          <cell r="G7" t="str">
            <v>setosa</v>
          </cell>
        </row>
        <row r="8">
          <cell r="C8">
            <v>5</v>
          </cell>
          <cell r="D8">
            <v>3.6</v>
          </cell>
          <cell r="E8">
            <v>1.4</v>
          </cell>
          <cell r="F8">
            <v>0.2</v>
          </cell>
          <cell r="G8" t="str">
            <v>setosa</v>
          </cell>
        </row>
        <row r="9">
          <cell r="C9">
            <v>5.4</v>
          </cell>
          <cell r="D9">
            <v>3.9</v>
          </cell>
          <cell r="E9">
            <v>1.7</v>
          </cell>
          <cell r="F9">
            <v>0.4</v>
          </cell>
          <cell r="G9" t="str">
            <v>setosa</v>
          </cell>
        </row>
        <row r="10">
          <cell r="C10">
            <v>4.5999999999999996</v>
          </cell>
          <cell r="D10">
            <v>3.4</v>
          </cell>
          <cell r="E10">
            <v>1.4</v>
          </cell>
          <cell r="F10">
            <v>0.3</v>
          </cell>
          <cell r="G10" t="str">
            <v>setosa</v>
          </cell>
        </row>
        <row r="11">
          <cell r="C11">
            <v>5</v>
          </cell>
          <cell r="D11">
            <v>3.4</v>
          </cell>
          <cell r="E11">
            <v>1.5</v>
          </cell>
          <cell r="F11">
            <v>0.2</v>
          </cell>
          <cell r="G11" t="str">
            <v>setosa</v>
          </cell>
        </row>
        <row r="12">
          <cell r="C12">
            <v>4.4000000000000004</v>
          </cell>
          <cell r="D12">
            <v>2.9</v>
          </cell>
          <cell r="E12">
            <v>1.4</v>
          </cell>
          <cell r="F12">
            <v>0.2</v>
          </cell>
          <cell r="G12" t="str">
            <v>setosa</v>
          </cell>
        </row>
        <row r="13">
          <cell r="C13">
            <v>4.9000000000000004</v>
          </cell>
          <cell r="D13">
            <v>3.1</v>
          </cell>
          <cell r="E13">
            <v>1.5</v>
          </cell>
          <cell r="F13">
            <v>0.1</v>
          </cell>
          <cell r="G13" t="str">
            <v>setosa</v>
          </cell>
        </row>
        <row r="14">
          <cell r="C14">
            <v>5.4</v>
          </cell>
          <cell r="D14">
            <v>3.7</v>
          </cell>
          <cell r="E14">
            <v>1.5</v>
          </cell>
          <cell r="F14">
            <v>0.2</v>
          </cell>
          <cell r="G14" t="str">
            <v>setosa</v>
          </cell>
        </row>
        <row r="15">
          <cell r="C15">
            <v>4.8</v>
          </cell>
          <cell r="D15">
            <v>3.4</v>
          </cell>
          <cell r="E15">
            <v>1.6</v>
          </cell>
          <cell r="F15">
            <v>0.2</v>
          </cell>
          <cell r="G15" t="str">
            <v>setosa</v>
          </cell>
        </row>
        <row r="16">
          <cell r="C16">
            <v>4.8</v>
          </cell>
          <cell r="D16">
            <v>3</v>
          </cell>
          <cell r="E16">
            <v>1.4</v>
          </cell>
          <cell r="F16">
            <v>0.1</v>
          </cell>
          <cell r="G16" t="str">
            <v>setosa</v>
          </cell>
        </row>
        <row r="17">
          <cell r="C17">
            <v>4.3</v>
          </cell>
          <cell r="D17">
            <v>3</v>
          </cell>
          <cell r="E17">
            <v>1.1000000000000001</v>
          </cell>
          <cell r="F17">
            <v>0.1</v>
          </cell>
          <cell r="G17" t="str">
            <v>setosa</v>
          </cell>
        </row>
        <row r="18">
          <cell r="C18">
            <v>5.8</v>
          </cell>
          <cell r="D18">
            <v>4</v>
          </cell>
          <cell r="E18">
            <v>1.2</v>
          </cell>
          <cell r="F18">
            <v>0.2</v>
          </cell>
          <cell r="G18" t="str">
            <v>setosa</v>
          </cell>
        </row>
        <row r="19">
          <cell r="C19">
            <v>5.7</v>
          </cell>
          <cell r="D19">
            <v>4.4000000000000004</v>
          </cell>
          <cell r="E19">
            <v>1.5</v>
          </cell>
          <cell r="F19">
            <v>0.4</v>
          </cell>
          <cell r="G19" t="str">
            <v>setosa</v>
          </cell>
        </row>
        <row r="20">
          <cell r="C20">
            <v>5.4</v>
          </cell>
          <cell r="D20">
            <v>3.9</v>
          </cell>
          <cell r="E20">
            <v>1.3</v>
          </cell>
          <cell r="F20">
            <v>0.4</v>
          </cell>
          <cell r="G20" t="str">
            <v>setosa</v>
          </cell>
        </row>
        <row r="21">
          <cell r="C21">
            <v>5.0999999999999996</v>
          </cell>
          <cell r="D21">
            <v>3.5</v>
          </cell>
          <cell r="E21">
            <v>1.4</v>
          </cell>
          <cell r="F21">
            <v>0.3</v>
          </cell>
          <cell r="G21" t="str">
            <v>setosa</v>
          </cell>
        </row>
        <row r="22">
          <cell r="C22">
            <v>5.7</v>
          </cell>
          <cell r="D22">
            <v>3.8</v>
          </cell>
          <cell r="E22">
            <v>1.7</v>
          </cell>
          <cell r="F22">
            <v>0.3</v>
          </cell>
          <cell r="G22" t="str">
            <v>setosa</v>
          </cell>
        </row>
        <row r="23">
          <cell r="C23">
            <v>5.0999999999999996</v>
          </cell>
          <cell r="D23">
            <v>3.8</v>
          </cell>
          <cell r="E23">
            <v>1.5</v>
          </cell>
          <cell r="F23">
            <v>0.3</v>
          </cell>
          <cell r="G23" t="str">
            <v>setosa</v>
          </cell>
        </row>
        <row r="24">
          <cell r="C24">
            <v>5.4</v>
          </cell>
          <cell r="D24">
            <v>3.4</v>
          </cell>
          <cell r="E24">
            <v>1.7</v>
          </cell>
          <cell r="F24">
            <v>0.2</v>
          </cell>
          <cell r="G24" t="str">
            <v>setosa</v>
          </cell>
        </row>
        <row r="25">
          <cell r="C25">
            <v>5.0999999999999996</v>
          </cell>
          <cell r="D25">
            <v>3.7</v>
          </cell>
          <cell r="E25">
            <v>1.5</v>
          </cell>
          <cell r="F25">
            <v>0.4</v>
          </cell>
          <cell r="G25" t="str">
            <v>setosa</v>
          </cell>
        </row>
        <row r="26">
          <cell r="C26">
            <v>4.5999999999999996</v>
          </cell>
          <cell r="D26">
            <v>3.6</v>
          </cell>
          <cell r="E26">
            <v>1</v>
          </cell>
          <cell r="F26">
            <v>0.2</v>
          </cell>
          <cell r="G26" t="str">
            <v>setosa</v>
          </cell>
        </row>
        <row r="27">
          <cell r="C27">
            <v>5.0999999999999996</v>
          </cell>
          <cell r="D27">
            <v>3.3</v>
          </cell>
          <cell r="E27">
            <v>1.7</v>
          </cell>
          <cell r="F27">
            <v>0.5</v>
          </cell>
          <cell r="G27" t="str">
            <v>setosa</v>
          </cell>
        </row>
        <row r="28">
          <cell r="C28">
            <v>4.8</v>
          </cell>
          <cell r="D28">
            <v>3.4</v>
          </cell>
          <cell r="E28">
            <v>1.9</v>
          </cell>
          <cell r="F28">
            <v>0.2</v>
          </cell>
          <cell r="G28" t="str">
            <v>setosa</v>
          </cell>
        </row>
        <row r="29">
          <cell r="C29">
            <v>5</v>
          </cell>
          <cell r="D29">
            <v>3</v>
          </cell>
          <cell r="E29">
            <v>1.6</v>
          </cell>
          <cell r="F29">
            <v>0.2</v>
          </cell>
          <cell r="G29" t="str">
            <v>setosa</v>
          </cell>
        </row>
        <row r="30">
          <cell r="C30">
            <v>5</v>
          </cell>
          <cell r="D30">
            <v>3.4</v>
          </cell>
          <cell r="E30">
            <v>1.6</v>
          </cell>
          <cell r="F30">
            <v>0.4</v>
          </cell>
          <cell r="G30" t="str">
            <v>setosa</v>
          </cell>
        </row>
        <row r="31">
          <cell r="C31">
            <v>5.2</v>
          </cell>
          <cell r="D31">
            <v>3.5</v>
          </cell>
          <cell r="E31">
            <v>1.5</v>
          </cell>
          <cell r="F31">
            <v>0.2</v>
          </cell>
          <cell r="G31" t="str">
            <v>setosa</v>
          </cell>
        </row>
        <row r="32">
          <cell r="C32">
            <v>5.2</v>
          </cell>
          <cell r="D32">
            <v>3.4</v>
          </cell>
          <cell r="E32">
            <v>1.4</v>
          </cell>
          <cell r="F32">
            <v>0.2</v>
          </cell>
          <cell r="G32" t="str">
            <v>setosa</v>
          </cell>
        </row>
        <row r="33">
          <cell r="C33">
            <v>4.7</v>
          </cell>
          <cell r="D33">
            <v>3.2</v>
          </cell>
          <cell r="E33">
            <v>1.6</v>
          </cell>
          <cell r="F33">
            <v>0.2</v>
          </cell>
          <cell r="G33" t="str">
            <v>setosa</v>
          </cell>
        </row>
        <row r="34">
          <cell r="C34">
            <v>4.8</v>
          </cell>
          <cell r="D34">
            <v>3.1</v>
          </cell>
          <cell r="E34">
            <v>1.6</v>
          </cell>
          <cell r="F34">
            <v>0.2</v>
          </cell>
          <cell r="G34" t="str">
            <v>setosa</v>
          </cell>
        </row>
        <row r="35">
          <cell r="C35">
            <v>5.4</v>
          </cell>
          <cell r="D35">
            <v>3.4</v>
          </cell>
          <cell r="E35">
            <v>1.5</v>
          </cell>
          <cell r="F35">
            <v>0.4</v>
          </cell>
          <cell r="G35" t="str">
            <v>setosa</v>
          </cell>
        </row>
        <row r="36">
          <cell r="C36">
            <v>5.2</v>
          </cell>
          <cell r="D36">
            <v>4.0999999999999996</v>
          </cell>
          <cell r="E36">
            <v>1.5</v>
          </cell>
          <cell r="F36">
            <v>0.1</v>
          </cell>
          <cell r="G36" t="str">
            <v>setosa</v>
          </cell>
        </row>
        <row r="37">
          <cell r="C37">
            <v>5.5</v>
          </cell>
          <cell r="D37">
            <v>4.2</v>
          </cell>
          <cell r="E37">
            <v>1.4</v>
          </cell>
          <cell r="F37">
            <v>0.2</v>
          </cell>
          <cell r="G37" t="str">
            <v>setosa</v>
          </cell>
        </row>
        <row r="38">
          <cell r="C38">
            <v>4.9000000000000004</v>
          </cell>
          <cell r="D38">
            <v>3.1</v>
          </cell>
          <cell r="E38">
            <v>1.5</v>
          </cell>
          <cell r="F38">
            <v>0.2</v>
          </cell>
          <cell r="G38" t="str">
            <v>setosa</v>
          </cell>
        </row>
        <row r="39">
          <cell r="C39">
            <v>5</v>
          </cell>
          <cell r="D39">
            <v>3.2</v>
          </cell>
          <cell r="E39">
            <v>1.2</v>
          </cell>
          <cell r="F39">
            <v>0.2</v>
          </cell>
          <cell r="G39" t="str">
            <v>setosa</v>
          </cell>
        </row>
        <row r="40">
          <cell r="C40">
            <v>5.5</v>
          </cell>
          <cell r="D40">
            <v>3.5</v>
          </cell>
          <cell r="E40">
            <v>1.3</v>
          </cell>
          <cell r="F40">
            <v>0.2</v>
          </cell>
          <cell r="G40" t="str">
            <v>setosa</v>
          </cell>
        </row>
        <row r="41">
          <cell r="C41">
            <v>4.9000000000000004</v>
          </cell>
          <cell r="D41">
            <v>3.6</v>
          </cell>
          <cell r="E41">
            <v>1.4</v>
          </cell>
          <cell r="F41">
            <v>0.1</v>
          </cell>
          <cell r="G41" t="str">
            <v>setosa</v>
          </cell>
        </row>
        <row r="42">
          <cell r="C42">
            <v>4.4000000000000004</v>
          </cell>
          <cell r="D42">
            <v>3</v>
          </cell>
          <cell r="E42">
            <v>1.3</v>
          </cell>
          <cell r="F42">
            <v>0.2</v>
          </cell>
          <cell r="G42" t="str">
            <v>setosa</v>
          </cell>
        </row>
        <row r="43">
          <cell r="C43">
            <v>5.0999999999999996</v>
          </cell>
          <cell r="D43">
            <v>3.4</v>
          </cell>
          <cell r="E43">
            <v>1.5</v>
          </cell>
          <cell r="F43">
            <v>0.2</v>
          </cell>
          <cell r="G43" t="str">
            <v>setosa</v>
          </cell>
        </row>
        <row r="44">
          <cell r="C44">
            <v>5</v>
          </cell>
          <cell r="D44">
            <v>3.5</v>
          </cell>
          <cell r="E44">
            <v>1.3</v>
          </cell>
          <cell r="F44">
            <v>0.3</v>
          </cell>
          <cell r="G44" t="str">
            <v>setosa</v>
          </cell>
        </row>
        <row r="45">
          <cell r="C45">
            <v>4.5</v>
          </cell>
          <cell r="D45">
            <v>2.2999999999999998</v>
          </cell>
          <cell r="E45">
            <v>1.3</v>
          </cell>
          <cell r="F45">
            <v>0.3</v>
          </cell>
          <cell r="G45" t="str">
            <v>setosa</v>
          </cell>
        </row>
        <row r="46">
          <cell r="C46">
            <v>4.4000000000000004</v>
          </cell>
          <cell r="D46">
            <v>3.2</v>
          </cell>
          <cell r="E46">
            <v>1.3</v>
          </cell>
          <cell r="F46">
            <v>0.2</v>
          </cell>
          <cell r="G46" t="str">
            <v>setosa</v>
          </cell>
        </row>
        <row r="47">
          <cell r="C47">
            <v>5</v>
          </cell>
          <cell r="D47">
            <v>3.5</v>
          </cell>
          <cell r="E47">
            <v>1.6</v>
          </cell>
          <cell r="F47">
            <v>0.6</v>
          </cell>
          <cell r="G47" t="str">
            <v>setosa</v>
          </cell>
        </row>
        <row r="48">
          <cell r="C48">
            <v>5.0999999999999996</v>
          </cell>
          <cell r="D48">
            <v>3.8</v>
          </cell>
          <cell r="E48">
            <v>1.9</v>
          </cell>
          <cell r="F48">
            <v>0.4</v>
          </cell>
          <cell r="G48" t="str">
            <v>setosa</v>
          </cell>
        </row>
        <row r="49">
          <cell r="C49">
            <v>4.8</v>
          </cell>
          <cell r="D49">
            <v>3</v>
          </cell>
          <cell r="E49">
            <v>1.4</v>
          </cell>
          <cell r="F49">
            <v>0.3</v>
          </cell>
          <cell r="G49" t="str">
            <v>setosa</v>
          </cell>
        </row>
        <row r="50">
          <cell r="C50">
            <v>5.0999999999999996</v>
          </cell>
          <cell r="D50">
            <v>3.8</v>
          </cell>
          <cell r="E50">
            <v>1.6</v>
          </cell>
          <cell r="F50">
            <v>0.2</v>
          </cell>
          <cell r="G50" t="str">
            <v>setosa</v>
          </cell>
        </row>
        <row r="51">
          <cell r="C51">
            <v>4.5999999999999996</v>
          </cell>
          <cell r="D51">
            <v>3.2</v>
          </cell>
          <cell r="E51">
            <v>1.4</v>
          </cell>
          <cell r="F51">
            <v>0.2</v>
          </cell>
          <cell r="G51" t="str">
            <v>setosa</v>
          </cell>
        </row>
        <row r="52">
          <cell r="C52">
            <v>5.3</v>
          </cell>
          <cell r="D52">
            <v>3.7</v>
          </cell>
          <cell r="E52">
            <v>1.5</v>
          </cell>
          <cell r="F52">
            <v>0.2</v>
          </cell>
          <cell r="G52" t="str">
            <v>setosa</v>
          </cell>
        </row>
        <row r="53">
          <cell r="C53">
            <v>5</v>
          </cell>
          <cell r="D53">
            <v>3.3</v>
          </cell>
          <cell r="E53">
            <v>1.4</v>
          </cell>
          <cell r="F53">
            <v>0.2</v>
          </cell>
          <cell r="G53" t="str">
            <v>setosa</v>
          </cell>
        </row>
        <row r="54">
          <cell r="C54">
            <v>7</v>
          </cell>
          <cell r="D54">
            <v>3.2</v>
          </cell>
          <cell r="E54">
            <v>4.7</v>
          </cell>
          <cell r="F54">
            <v>1.4</v>
          </cell>
          <cell r="G54" t="str">
            <v>versicolor</v>
          </cell>
        </row>
        <row r="55">
          <cell r="C55">
            <v>6.4</v>
          </cell>
          <cell r="D55">
            <v>3.2</v>
          </cell>
          <cell r="E55">
            <v>4.5</v>
          </cell>
          <cell r="F55">
            <v>1.5</v>
          </cell>
          <cell r="G55" t="str">
            <v>versicolor</v>
          </cell>
        </row>
        <row r="56">
          <cell r="C56">
            <v>6.9</v>
          </cell>
          <cell r="D56">
            <v>3.1</v>
          </cell>
          <cell r="E56">
            <v>4.9000000000000004</v>
          </cell>
          <cell r="F56">
            <v>1.5</v>
          </cell>
          <cell r="G56" t="str">
            <v>versicolor</v>
          </cell>
        </row>
        <row r="57">
          <cell r="C57">
            <v>5.5</v>
          </cell>
          <cell r="D57">
            <v>2.2999999999999998</v>
          </cell>
          <cell r="E57">
            <v>4</v>
          </cell>
          <cell r="F57">
            <v>1.3</v>
          </cell>
          <cell r="G57" t="str">
            <v>versicolor</v>
          </cell>
        </row>
        <row r="58">
          <cell r="C58">
            <v>6.5</v>
          </cell>
          <cell r="D58">
            <v>2.8</v>
          </cell>
          <cell r="E58">
            <v>4.5999999999999996</v>
          </cell>
          <cell r="F58">
            <v>1.5</v>
          </cell>
          <cell r="G58" t="str">
            <v>versicolor</v>
          </cell>
        </row>
        <row r="59">
          <cell r="C59">
            <v>5.7</v>
          </cell>
          <cell r="D59">
            <v>2.8</v>
          </cell>
          <cell r="E59">
            <v>4.5</v>
          </cell>
          <cell r="F59">
            <v>1.3</v>
          </cell>
          <cell r="G59" t="str">
            <v>versicolor</v>
          </cell>
        </row>
        <row r="60">
          <cell r="C60">
            <v>6.3</v>
          </cell>
          <cell r="D60">
            <v>3.3</v>
          </cell>
          <cell r="E60">
            <v>4.7</v>
          </cell>
          <cell r="F60">
            <v>1.6</v>
          </cell>
          <cell r="G60" t="str">
            <v>versicolor</v>
          </cell>
        </row>
        <row r="61">
          <cell r="C61">
            <v>4.9000000000000004</v>
          </cell>
          <cell r="D61">
            <v>2.4</v>
          </cell>
          <cell r="E61">
            <v>3.3</v>
          </cell>
          <cell r="F61">
            <v>1</v>
          </cell>
          <cell r="G61" t="str">
            <v>versicolor</v>
          </cell>
        </row>
        <row r="62">
          <cell r="C62">
            <v>6.6</v>
          </cell>
          <cell r="D62">
            <v>2.9</v>
          </cell>
          <cell r="E62">
            <v>4.5999999999999996</v>
          </cell>
          <cell r="F62">
            <v>1.3</v>
          </cell>
          <cell r="G62" t="str">
            <v>versicolor</v>
          </cell>
        </row>
        <row r="63">
          <cell r="C63">
            <v>5.2</v>
          </cell>
          <cell r="D63">
            <v>2.7</v>
          </cell>
          <cell r="E63">
            <v>3.9</v>
          </cell>
          <cell r="F63">
            <v>1.4</v>
          </cell>
          <cell r="G63" t="str">
            <v>versicolor</v>
          </cell>
        </row>
        <row r="64">
          <cell r="C64">
            <v>5</v>
          </cell>
          <cell r="D64">
            <v>2</v>
          </cell>
          <cell r="E64">
            <v>3.5</v>
          </cell>
          <cell r="F64">
            <v>1</v>
          </cell>
          <cell r="G64" t="str">
            <v>versicolor</v>
          </cell>
        </row>
        <row r="65">
          <cell r="C65">
            <v>5.9</v>
          </cell>
          <cell r="D65">
            <v>3</v>
          </cell>
          <cell r="E65">
            <v>4.2</v>
          </cell>
          <cell r="F65">
            <v>1.5</v>
          </cell>
          <cell r="G65" t="str">
            <v>versicolor</v>
          </cell>
        </row>
        <row r="66">
          <cell r="C66">
            <v>6</v>
          </cell>
          <cell r="D66">
            <v>2.2000000000000002</v>
          </cell>
          <cell r="E66">
            <v>4</v>
          </cell>
          <cell r="F66">
            <v>1</v>
          </cell>
          <cell r="G66" t="str">
            <v>versicolor</v>
          </cell>
        </row>
        <row r="67">
          <cell r="C67">
            <v>6.1</v>
          </cell>
          <cell r="D67">
            <v>2.9</v>
          </cell>
          <cell r="E67">
            <v>4.7</v>
          </cell>
          <cell r="F67">
            <v>1.4</v>
          </cell>
          <cell r="G67" t="str">
            <v>versicolor</v>
          </cell>
        </row>
        <row r="68">
          <cell r="C68">
            <v>5.6</v>
          </cell>
          <cell r="D68">
            <v>2.9</v>
          </cell>
          <cell r="E68">
            <v>3.6</v>
          </cell>
          <cell r="F68">
            <v>1.3</v>
          </cell>
          <cell r="G68" t="str">
            <v>versicolor</v>
          </cell>
        </row>
        <row r="69">
          <cell r="C69">
            <v>6.7</v>
          </cell>
          <cell r="D69">
            <v>3.1</v>
          </cell>
          <cell r="E69">
            <v>4.4000000000000004</v>
          </cell>
          <cell r="F69">
            <v>1.4</v>
          </cell>
          <cell r="G69" t="str">
            <v>versicolor</v>
          </cell>
        </row>
        <row r="70">
          <cell r="C70">
            <v>5.6</v>
          </cell>
          <cell r="D70">
            <v>3</v>
          </cell>
          <cell r="E70">
            <v>4.5</v>
          </cell>
          <cell r="F70">
            <v>1.5</v>
          </cell>
          <cell r="G70" t="str">
            <v>versicolor</v>
          </cell>
        </row>
        <row r="71">
          <cell r="C71">
            <v>5.8</v>
          </cell>
          <cell r="D71">
            <v>2.7</v>
          </cell>
          <cell r="E71">
            <v>4.0999999999999996</v>
          </cell>
          <cell r="F71">
            <v>1</v>
          </cell>
          <cell r="G71" t="str">
            <v>versicolor</v>
          </cell>
        </row>
        <row r="72">
          <cell r="C72">
            <v>6.2</v>
          </cell>
          <cell r="D72">
            <v>2.2000000000000002</v>
          </cell>
          <cell r="E72">
            <v>4.5</v>
          </cell>
          <cell r="F72">
            <v>1.5</v>
          </cell>
          <cell r="G72" t="str">
            <v>versicolor</v>
          </cell>
        </row>
        <row r="73">
          <cell r="C73">
            <v>5.6</v>
          </cell>
          <cell r="D73">
            <v>2.5</v>
          </cell>
          <cell r="E73">
            <v>3.9</v>
          </cell>
          <cell r="F73">
            <v>1.1000000000000001</v>
          </cell>
          <cell r="G73" t="str">
            <v>versicolor</v>
          </cell>
        </row>
        <row r="74">
          <cell r="C74">
            <v>5.9</v>
          </cell>
          <cell r="D74">
            <v>3.2</v>
          </cell>
          <cell r="E74">
            <v>4.8</v>
          </cell>
          <cell r="F74">
            <v>1.8</v>
          </cell>
          <cell r="G74" t="str">
            <v>versicolor</v>
          </cell>
        </row>
        <row r="75">
          <cell r="C75">
            <v>6.1</v>
          </cell>
          <cell r="D75">
            <v>2.8</v>
          </cell>
          <cell r="E75">
            <v>4</v>
          </cell>
          <cell r="F75">
            <v>1.3</v>
          </cell>
          <cell r="G75" t="str">
            <v>versicolor</v>
          </cell>
        </row>
        <row r="76">
          <cell r="C76">
            <v>6.3</v>
          </cell>
          <cell r="D76">
            <v>2.5</v>
          </cell>
          <cell r="E76">
            <v>4.9000000000000004</v>
          </cell>
          <cell r="F76">
            <v>1.5</v>
          </cell>
          <cell r="G76" t="str">
            <v>versicolor</v>
          </cell>
        </row>
        <row r="77">
          <cell r="C77">
            <v>6.1</v>
          </cell>
          <cell r="D77">
            <v>2.8</v>
          </cell>
          <cell r="E77">
            <v>4.7</v>
          </cell>
          <cell r="F77">
            <v>1.2</v>
          </cell>
          <cell r="G77" t="str">
            <v>versicolor</v>
          </cell>
        </row>
        <row r="78">
          <cell r="C78">
            <v>6.4</v>
          </cell>
          <cell r="D78">
            <v>2.9</v>
          </cell>
          <cell r="E78">
            <v>4.3</v>
          </cell>
          <cell r="F78">
            <v>1.3</v>
          </cell>
          <cell r="G78" t="str">
            <v>versicolor</v>
          </cell>
        </row>
        <row r="79">
          <cell r="C79">
            <v>6.6</v>
          </cell>
          <cell r="D79">
            <v>3</v>
          </cell>
          <cell r="E79">
            <v>4.4000000000000004</v>
          </cell>
          <cell r="F79">
            <v>1.4</v>
          </cell>
          <cell r="G79" t="str">
            <v>versicolor</v>
          </cell>
        </row>
        <row r="80">
          <cell r="C80">
            <v>6.8</v>
          </cell>
          <cell r="D80">
            <v>2.8</v>
          </cell>
          <cell r="E80">
            <v>4.8</v>
          </cell>
          <cell r="F80">
            <v>1.4</v>
          </cell>
          <cell r="G80" t="str">
            <v>versicolor</v>
          </cell>
        </row>
        <row r="81">
          <cell r="C81">
            <v>6.7</v>
          </cell>
          <cell r="D81">
            <v>3</v>
          </cell>
          <cell r="E81">
            <v>5</v>
          </cell>
          <cell r="F81">
            <v>1.7</v>
          </cell>
          <cell r="G81" t="str">
            <v>versicolor</v>
          </cell>
        </row>
        <row r="82">
          <cell r="C82">
            <v>6</v>
          </cell>
          <cell r="D82">
            <v>2.9</v>
          </cell>
          <cell r="E82">
            <v>4.5</v>
          </cell>
          <cell r="F82">
            <v>1.5</v>
          </cell>
          <cell r="G82" t="str">
            <v>versicolor</v>
          </cell>
        </row>
        <row r="83">
          <cell r="C83">
            <v>5.7</v>
          </cell>
          <cell r="D83">
            <v>2.6</v>
          </cell>
          <cell r="E83">
            <v>3.5</v>
          </cell>
          <cell r="F83">
            <v>1</v>
          </cell>
          <cell r="G83" t="str">
            <v>versicolor</v>
          </cell>
        </row>
        <row r="84">
          <cell r="C84">
            <v>5.5</v>
          </cell>
          <cell r="D84">
            <v>2.4</v>
          </cell>
          <cell r="E84">
            <v>3.8</v>
          </cell>
          <cell r="F84">
            <v>1.1000000000000001</v>
          </cell>
          <cell r="G84" t="str">
            <v>versicolor</v>
          </cell>
        </row>
        <row r="85">
          <cell r="C85">
            <v>5.5</v>
          </cell>
          <cell r="D85">
            <v>2.4</v>
          </cell>
          <cell r="E85">
            <v>3.7</v>
          </cell>
          <cell r="F85">
            <v>1</v>
          </cell>
          <cell r="G85" t="str">
            <v>versicolor</v>
          </cell>
        </row>
        <row r="86">
          <cell r="C86">
            <v>5.8</v>
          </cell>
          <cell r="D86">
            <v>2.7</v>
          </cell>
          <cell r="E86">
            <v>3.9</v>
          </cell>
          <cell r="F86">
            <v>1.2</v>
          </cell>
          <cell r="G86" t="str">
            <v>versicolor</v>
          </cell>
        </row>
        <row r="87">
          <cell r="C87">
            <v>6</v>
          </cell>
          <cell r="D87">
            <v>2.7</v>
          </cell>
          <cell r="E87">
            <v>5.0999999999999996</v>
          </cell>
          <cell r="F87">
            <v>1.6</v>
          </cell>
          <cell r="G87" t="str">
            <v>versicolor</v>
          </cell>
        </row>
        <row r="88">
          <cell r="C88">
            <v>5.4</v>
          </cell>
          <cell r="D88">
            <v>3</v>
          </cell>
          <cell r="E88">
            <v>4.5</v>
          </cell>
          <cell r="F88">
            <v>1.5</v>
          </cell>
          <cell r="G88" t="str">
            <v>versicolor</v>
          </cell>
        </row>
        <row r="89">
          <cell r="C89">
            <v>6</v>
          </cell>
          <cell r="D89">
            <v>3.4</v>
          </cell>
          <cell r="E89">
            <v>4.5</v>
          </cell>
          <cell r="F89">
            <v>1.6</v>
          </cell>
          <cell r="G89" t="str">
            <v>versicolor</v>
          </cell>
        </row>
        <row r="90">
          <cell r="C90">
            <v>6.7</v>
          </cell>
          <cell r="D90">
            <v>3.1</v>
          </cell>
          <cell r="E90">
            <v>4.7</v>
          </cell>
          <cell r="F90">
            <v>1.5</v>
          </cell>
          <cell r="G90" t="str">
            <v>versicolor</v>
          </cell>
        </row>
        <row r="91">
          <cell r="C91">
            <v>6.3</v>
          </cell>
          <cell r="D91">
            <v>2.2999999999999998</v>
          </cell>
          <cell r="E91">
            <v>4.4000000000000004</v>
          </cell>
          <cell r="F91">
            <v>1.3</v>
          </cell>
          <cell r="G91" t="str">
            <v>versicolor</v>
          </cell>
        </row>
        <row r="92">
          <cell r="C92">
            <v>5.6</v>
          </cell>
          <cell r="D92">
            <v>3</v>
          </cell>
          <cell r="E92">
            <v>4.0999999999999996</v>
          </cell>
          <cell r="F92">
            <v>1.3</v>
          </cell>
          <cell r="G92" t="str">
            <v>versicolor</v>
          </cell>
        </row>
        <row r="93">
          <cell r="C93">
            <v>5.5</v>
          </cell>
          <cell r="D93">
            <v>2.5</v>
          </cell>
          <cell r="E93">
            <v>4</v>
          </cell>
          <cell r="F93">
            <v>1.3</v>
          </cell>
          <cell r="G93" t="str">
            <v>versicolor</v>
          </cell>
        </row>
        <row r="94">
          <cell r="C94">
            <v>5.5</v>
          </cell>
          <cell r="D94">
            <v>2.6</v>
          </cell>
          <cell r="E94">
            <v>4.4000000000000004</v>
          </cell>
          <cell r="F94">
            <v>1.2</v>
          </cell>
          <cell r="G94" t="str">
            <v>versicolor</v>
          </cell>
        </row>
        <row r="95">
          <cell r="C95">
            <v>6.1</v>
          </cell>
          <cell r="D95">
            <v>3</v>
          </cell>
          <cell r="E95">
            <v>4.5999999999999996</v>
          </cell>
          <cell r="F95">
            <v>1.4</v>
          </cell>
          <cell r="G95" t="str">
            <v>versicolor</v>
          </cell>
        </row>
        <row r="96">
          <cell r="C96">
            <v>5.8</v>
          </cell>
          <cell r="D96">
            <v>2.6</v>
          </cell>
          <cell r="E96">
            <v>4</v>
          </cell>
          <cell r="F96">
            <v>1.2</v>
          </cell>
          <cell r="G96" t="str">
            <v>versicolor</v>
          </cell>
        </row>
        <row r="97">
          <cell r="C97">
            <v>5</v>
          </cell>
          <cell r="D97">
            <v>2.2999999999999998</v>
          </cell>
          <cell r="E97">
            <v>3.3</v>
          </cell>
          <cell r="F97">
            <v>1</v>
          </cell>
          <cell r="G97" t="str">
            <v>versicolor</v>
          </cell>
        </row>
        <row r="98">
          <cell r="C98">
            <v>5.6</v>
          </cell>
          <cell r="D98">
            <v>2.7</v>
          </cell>
          <cell r="E98">
            <v>4.2</v>
          </cell>
          <cell r="F98">
            <v>1.3</v>
          </cell>
          <cell r="G98" t="str">
            <v>versicolor</v>
          </cell>
        </row>
        <row r="99">
          <cell r="C99">
            <v>5.7</v>
          </cell>
          <cell r="D99">
            <v>3</v>
          </cell>
          <cell r="E99">
            <v>4.2</v>
          </cell>
          <cell r="F99">
            <v>1.2</v>
          </cell>
          <cell r="G99" t="str">
            <v>versicolor</v>
          </cell>
        </row>
        <row r="100">
          <cell r="C100">
            <v>5.7</v>
          </cell>
          <cell r="D100">
            <v>2.9</v>
          </cell>
          <cell r="E100">
            <v>4.2</v>
          </cell>
          <cell r="F100">
            <v>1.3</v>
          </cell>
          <cell r="G100" t="str">
            <v>versicolor</v>
          </cell>
        </row>
        <row r="101">
          <cell r="C101">
            <v>6.2</v>
          </cell>
          <cell r="D101">
            <v>2.9</v>
          </cell>
          <cell r="E101">
            <v>4.3</v>
          </cell>
          <cell r="F101">
            <v>1.3</v>
          </cell>
          <cell r="G101" t="str">
            <v>versicolor</v>
          </cell>
        </row>
        <row r="102">
          <cell r="C102">
            <v>5.0999999999999996</v>
          </cell>
          <cell r="D102">
            <v>2.5</v>
          </cell>
          <cell r="E102">
            <v>3</v>
          </cell>
          <cell r="F102">
            <v>1.1000000000000001</v>
          </cell>
          <cell r="G102" t="str">
            <v>versicolor</v>
          </cell>
        </row>
        <row r="103">
          <cell r="C103">
            <v>5.7</v>
          </cell>
          <cell r="D103">
            <v>2.8</v>
          </cell>
          <cell r="E103">
            <v>4.0999999999999996</v>
          </cell>
          <cell r="F103">
            <v>1.3</v>
          </cell>
          <cell r="G103" t="str">
            <v>versicolor</v>
          </cell>
        </row>
        <row r="104">
          <cell r="C104">
            <v>6.3</v>
          </cell>
          <cell r="D104">
            <v>3.3</v>
          </cell>
          <cell r="E104">
            <v>6</v>
          </cell>
          <cell r="F104">
            <v>2.5</v>
          </cell>
          <cell r="G104" t="str">
            <v>virginica</v>
          </cell>
        </row>
        <row r="105">
          <cell r="C105">
            <v>5.8</v>
          </cell>
          <cell r="D105">
            <v>2.7</v>
          </cell>
          <cell r="E105">
            <v>5.0999999999999996</v>
          </cell>
          <cell r="F105">
            <v>1.9</v>
          </cell>
          <cell r="G105" t="str">
            <v>virginica</v>
          </cell>
        </row>
        <row r="106">
          <cell r="C106">
            <v>7.1</v>
          </cell>
          <cell r="D106">
            <v>3</v>
          </cell>
          <cell r="E106">
            <v>5.9</v>
          </cell>
          <cell r="F106">
            <v>2.1</v>
          </cell>
          <cell r="G106" t="str">
            <v>virginica</v>
          </cell>
        </row>
        <row r="107">
          <cell r="C107">
            <v>6.3</v>
          </cell>
          <cell r="D107">
            <v>2.9</v>
          </cell>
          <cell r="E107">
            <v>5.6</v>
          </cell>
          <cell r="F107">
            <v>1.8</v>
          </cell>
          <cell r="G107" t="str">
            <v>virginica</v>
          </cell>
        </row>
        <row r="108">
          <cell r="C108">
            <v>6.5</v>
          </cell>
          <cell r="D108">
            <v>3</v>
          </cell>
          <cell r="E108">
            <v>5.8</v>
          </cell>
          <cell r="F108">
            <v>2.2000000000000002</v>
          </cell>
          <cell r="G108" t="str">
            <v>virginica</v>
          </cell>
        </row>
        <row r="109">
          <cell r="C109">
            <v>7.6</v>
          </cell>
          <cell r="D109">
            <v>3</v>
          </cell>
          <cell r="E109">
            <v>6.6</v>
          </cell>
          <cell r="F109">
            <v>2.1</v>
          </cell>
          <cell r="G109" t="str">
            <v>virginica</v>
          </cell>
        </row>
        <row r="110">
          <cell r="C110">
            <v>4.9000000000000004</v>
          </cell>
          <cell r="D110">
            <v>2.5</v>
          </cell>
          <cell r="E110">
            <v>4.5</v>
          </cell>
          <cell r="F110">
            <v>1.7</v>
          </cell>
          <cell r="G110" t="str">
            <v>virginica</v>
          </cell>
        </row>
        <row r="111">
          <cell r="C111">
            <v>7.3</v>
          </cell>
          <cell r="D111">
            <v>2.9</v>
          </cell>
          <cell r="E111">
            <v>6.3</v>
          </cell>
          <cell r="F111">
            <v>1.8</v>
          </cell>
          <cell r="G111" t="str">
            <v>virginica</v>
          </cell>
        </row>
        <row r="112">
          <cell r="C112">
            <v>6.7</v>
          </cell>
          <cell r="D112">
            <v>2.5</v>
          </cell>
          <cell r="E112">
            <v>5.8</v>
          </cell>
          <cell r="F112">
            <v>1.8</v>
          </cell>
          <cell r="G112" t="str">
            <v>virginica</v>
          </cell>
        </row>
        <row r="113">
          <cell r="C113">
            <v>7.2</v>
          </cell>
          <cell r="D113">
            <v>3.6</v>
          </cell>
          <cell r="E113">
            <v>6.1</v>
          </cell>
          <cell r="F113">
            <v>2.5</v>
          </cell>
          <cell r="G113" t="str">
            <v>virginica</v>
          </cell>
        </row>
        <row r="114">
          <cell r="C114">
            <v>6.5</v>
          </cell>
          <cell r="D114">
            <v>3.2</v>
          </cell>
          <cell r="E114">
            <v>5.0999999999999996</v>
          </cell>
          <cell r="F114">
            <v>2</v>
          </cell>
          <cell r="G114" t="str">
            <v>virginica</v>
          </cell>
        </row>
        <row r="115">
          <cell r="C115">
            <v>6.4</v>
          </cell>
          <cell r="D115">
            <v>2.7</v>
          </cell>
          <cell r="E115">
            <v>5.3</v>
          </cell>
          <cell r="F115">
            <v>1.9</v>
          </cell>
          <cell r="G115" t="str">
            <v>virginica</v>
          </cell>
        </row>
        <row r="116">
          <cell r="C116">
            <v>6.8</v>
          </cell>
          <cell r="D116">
            <v>3</v>
          </cell>
          <cell r="E116">
            <v>5.5</v>
          </cell>
          <cell r="F116">
            <v>2.1</v>
          </cell>
          <cell r="G116" t="str">
            <v>virginica</v>
          </cell>
        </row>
        <row r="117">
          <cell r="C117">
            <v>5.7</v>
          </cell>
          <cell r="D117">
            <v>2.5</v>
          </cell>
          <cell r="E117">
            <v>5</v>
          </cell>
          <cell r="F117">
            <v>2</v>
          </cell>
          <cell r="G117" t="str">
            <v>virginica</v>
          </cell>
        </row>
        <row r="118">
          <cell r="C118">
            <v>5.8</v>
          </cell>
          <cell r="D118">
            <v>2.8</v>
          </cell>
          <cell r="E118">
            <v>5.0999999999999996</v>
          </cell>
          <cell r="F118">
            <v>2.4</v>
          </cell>
          <cell r="G118" t="str">
            <v>virginica</v>
          </cell>
        </row>
        <row r="119">
          <cell r="C119">
            <v>6.4</v>
          </cell>
          <cell r="D119">
            <v>3.2</v>
          </cell>
          <cell r="E119">
            <v>5.3</v>
          </cell>
          <cell r="F119">
            <v>2.2999999999999998</v>
          </cell>
          <cell r="G119" t="str">
            <v>virginica</v>
          </cell>
        </row>
        <row r="120">
          <cell r="C120">
            <v>6.5</v>
          </cell>
          <cell r="D120">
            <v>3</v>
          </cell>
          <cell r="E120">
            <v>5.5</v>
          </cell>
          <cell r="F120">
            <v>1.8</v>
          </cell>
          <cell r="G120" t="str">
            <v>virginica</v>
          </cell>
        </row>
        <row r="121">
          <cell r="C121">
            <v>7.7</v>
          </cell>
          <cell r="D121">
            <v>3.8</v>
          </cell>
          <cell r="E121">
            <v>6.7</v>
          </cell>
          <cell r="F121">
            <v>2.2000000000000002</v>
          </cell>
          <cell r="G121" t="str">
            <v>virginica</v>
          </cell>
        </row>
        <row r="122">
          <cell r="C122">
            <v>7.7</v>
          </cell>
          <cell r="D122">
            <v>2.6</v>
          </cell>
          <cell r="E122">
            <v>6.9</v>
          </cell>
          <cell r="F122">
            <v>2.2999999999999998</v>
          </cell>
          <cell r="G122" t="str">
            <v>virginica</v>
          </cell>
        </row>
        <row r="123">
          <cell r="C123">
            <v>6</v>
          </cell>
          <cell r="D123">
            <v>2.2000000000000002</v>
          </cell>
          <cell r="E123">
            <v>5</v>
          </cell>
          <cell r="F123">
            <v>1.5</v>
          </cell>
          <cell r="G123" t="str">
            <v>virginica</v>
          </cell>
        </row>
        <row r="124">
          <cell r="C124">
            <v>6.9</v>
          </cell>
          <cell r="D124">
            <v>3.2</v>
          </cell>
          <cell r="E124">
            <v>5.7</v>
          </cell>
          <cell r="F124">
            <v>2.2999999999999998</v>
          </cell>
          <cell r="G124" t="str">
            <v>virginica</v>
          </cell>
        </row>
        <row r="125">
          <cell r="C125">
            <v>5.6</v>
          </cell>
          <cell r="D125">
            <v>2.8</v>
          </cell>
          <cell r="E125">
            <v>4.9000000000000004</v>
          </cell>
          <cell r="F125">
            <v>2</v>
          </cell>
          <cell r="G125" t="str">
            <v>virginica</v>
          </cell>
        </row>
        <row r="126">
          <cell r="C126">
            <v>7.7</v>
          </cell>
          <cell r="D126">
            <v>2.8</v>
          </cell>
          <cell r="E126">
            <v>6.7</v>
          </cell>
          <cell r="F126">
            <v>2</v>
          </cell>
          <cell r="G126" t="str">
            <v>virginica</v>
          </cell>
        </row>
        <row r="127">
          <cell r="C127">
            <v>6.3</v>
          </cell>
          <cell r="D127">
            <v>2.7</v>
          </cell>
          <cell r="E127">
            <v>4.9000000000000004</v>
          </cell>
          <cell r="F127">
            <v>1.8</v>
          </cell>
          <cell r="G127" t="str">
            <v>virginica</v>
          </cell>
        </row>
        <row r="128">
          <cell r="C128">
            <v>6.7</v>
          </cell>
          <cell r="D128">
            <v>3.3</v>
          </cell>
          <cell r="E128">
            <v>5.7</v>
          </cell>
          <cell r="F128">
            <v>2.1</v>
          </cell>
          <cell r="G128" t="str">
            <v>virginica</v>
          </cell>
        </row>
        <row r="129">
          <cell r="C129">
            <v>7.2</v>
          </cell>
          <cell r="D129">
            <v>3.2</v>
          </cell>
          <cell r="E129">
            <v>6</v>
          </cell>
          <cell r="F129">
            <v>1.8</v>
          </cell>
          <cell r="G129" t="str">
            <v>virginica</v>
          </cell>
        </row>
        <row r="130">
          <cell r="C130">
            <v>6.2</v>
          </cell>
          <cell r="D130">
            <v>2.8</v>
          </cell>
          <cell r="E130">
            <v>4.8</v>
          </cell>
          <cell r="F130">
            <v>1.8</v>
          </cell>
          <cell r="G130" t="str">
            <v>virginica</v>
          </cell>
        </row>
        <row r="131">
          <cell r="C131">
            <v>6.1</v>
          </cell>
          <cell r="D131">
            <v>3</v>
          </cell>
          <cell r="E131">
            <v>4.9000000000000004</v>
          </cell>
          <cell r="F131">
            <v>1.8</v>
          </cell>
          <cell r="G131" t="str">
            <v>virginica</v>
          </cell>
        </row>
        <row r="132">
          <cell r="C132">
            <v>6.4</v>
          </cell>
          <cell r="D132">
            <v>2.8</v>
          </cell>
          <cell r="E132">
            <v>5.6</v>
          </cell>
          <cell r="F132">
            <v>2.1</v>
          </cell>
          <cell r="G132" t="str">
            <v>virginica</v>
          </cell>
        </row>
        <row r="133">
          <cell r="C133">
            <v>7.2</v>
          </cell>
          <cell r="D133">
            <v>3</v>
          </cell>
          <cell r="E133">
            <v>5.8</v>
          </cell>
          <cell r="F133">
            <v>1.6</v>
          </cell>
          <cell r="G133" t="str">
            <v>virginica</v>
          </cell>
        </row>
        <row r="134">
          <cell r="C134">
            <v>7.4</v>
          </cell>
          <cell r="D134">
            <v>2.8</v>
          </cell>
          <cell r="E134">
            <v>6.1</v>
          </cell>
          <cell r="F134">
            <v>1.9</v>
          </cell>
          <cell r="G134" t="str">
            <v>virginica</v>
          </cell>
        </row>
        <row r="135">
          <cell r="C135">
            <v>7.9</v>
          </cell>
          <cell r="D135">
            <v>3.8</v>
          </cell>
          <cell r="E135">
            <v>6.4</v>
          </cell>
          <cell r="F135">
            <v>2</v>
          </cell>
          <cell r="G135" t="str">
            <v>virginica</v>
          </cell>
        </row>
        <row r="136">
          <cell r="C136">
            <v>6.4</v>
          </cell>
          <cell r="D136">
            <v>2.8</v>
          </cell>
          <cell r="E136">
            <v>5.6</v>
          </cell>
          <cell r="F136">
            <v>2.2000000000000002</v>
          </cell>
          <cell r="G136" t="str">
            <v>virginica</v>
          </cell>
        </row>
        <row r="137">
          <cell r="C137">
            <v>6.3</v>
          </cell>
          <cell r="D137">
            <v>2.8</v>
          </cell>
          <cell r="E137">
            <v>5.0999999999999996</v>
          </cell>
          <cell r="F137">
            <v>1.5</v>
          </cell>
          <cell r="G137" t="str">
            <v>virginica</v>
          </cell>
        </row>
        <row r="138">
          <cell r="C138">
            <v>6.1</v>
          </cell>
          <cell r="D138">
            <v>2.6</v>
          </cell>
          <cell r="E138">
            <v>5.6</v>
          </cell>
          <cell r="F138">
            <v>1.4</v>
          </cell>
          <cell r="G138" t="str">
            <v>virginica</v>
          </cell>
        </row>
        <row r="139">
          <cell r="C139">
            <v>7.7</v>
          </cell>
          <cell r="D139">
            <v>3</v>
          </cell>
          <cell r="E139">
            <v>6.1</v>
          </cell>
          <cell r="F139">
            <v>2.2999999999999998</v>
          </cell>
          <cell r="G139" t="str">
            <v>virginica</v>
          </cell>
        </row>
        <row r="140">
          <cell r="C140">
            <v>6.3</v>
          </cell>
          <cell r="D140">
            <v>3.4</v>
          </cell>
          <cell r="E140">
            <v>5.6</v>
          </cell>
          <cell r="F140">
            <v>2.4</v>
          </cell>
          <cell r="G140" t="str">
            <v>virginica</v>
          </cell>
        </row>
        <row r="141">
          <cell r="C141">
            <v>6.4</v>
          </cell>
          <cell r="D141">
            <v>3.1</v>
          </cell>
          <cell r="E141">
            <v>5.5</v>
          </cell>
          <cell r="F141">
            <v>1.8</v>
          </cell>
          <cell r="G141" t="str">
            <v>virginica</v>
          </cell>
        </row>
        <row r="142">
          <cell r="C142">
            <v>6</v>
          </cell>
          <cell r="D142">
            <v>3</v>
          </cell>
          <cell r="E142">
            <v>4.8</v>
          </cell>
          <cell r="F142">
            <v>1.8</v>
          </cell>
          <cell r="G142" t="str">
            <v>virginica</v>
          </cell>
        </row>
        <row r="143">
          <cell r="C143">
            <v>6.9</v>
          </cell>
          <cell r="D143">
            <v>3.1</v>
          </cell>
          <cell r="E143">
            <v>5.4</v>
          </cell>
          <cell r="F143">
            <v>2.1</v>
          </cell>
          <cell r="G143" t="str">
            <v>virginica</v>
          </cell>
        </row>
        <row r="144">
          <cell r="C144">
            <v>6.7</v>
          </cell>
          <cell r="D144">
            <v>3.1</v>
          </cell>
          <cell r="E144">
            <v>5.6</v>
          </cell>
          <cell r="F144">
            <v>2.4</v>
          </cell>
          <cell r="G144" t="str">
            <v>virginica</v>
          </cell>
        </row>
        <row r="145">
          <cell r="C145">
            <v>6.9</v>
          </cell>
          <cell r="D145">
            <v>3.1</v>
          </cell>
          <cell r="E145">
            <v>5.0999999999999996</v>
          </cell>
          <cell r="F145">
            <v>2.2999999999999998</v>
          </cell>
          <cell r="G145" t="str">
            <v>virginica</v>
          </cell>
        </row>
        <row r="146">
          <cell r="C146">
            <v>5.8</v>
          </cell>
          <cell r="D146">
            <v>2.7</v>
          </cell>
          <cell r="E146">
            <v>5.0999999999999996</v>
          </cell>
          <cell r="F146">
            <v>1.9</v>
          </cell>
          <cell r="G146" t="str">
            <v>virginica</v>
          </cell>
        </row>
        <row r="147">
          <cell r="C147">
            <v>6.8</v>
          </cell>
          <cell r="D147">
            <v>3.2</v>
          </cell>
          <cell r="E147">
            <v>5.9</v>
          </cell>
          <cell r="F147">
            <v>2.2999999999999998</v>
          </cell>
          <cell r="G147" t="str">
            <v>virginica</v>
          </cell>
        </row>
        <row r="148">
          <cell r="C148">
            <v>6.7</v>
          </cell>
          <cell r="D148">
            <v>3.3</v>
          </cell>
          <cell r="E148">
            <v>5.7</v>
          </cell>
          <cell r="F148">
            <v>2.5</v>
          </cell>
          <cell r="G148" t="str">
            <v>virginica</v>
          </cell>
        </row>
        <row r="149">
          <cell r="C149">
            <v>6.7</v>
          </cell>
          <cell r="D149">
            <v>3</v>
          </cell>
          <cell r="E149">
            <v>5.2</v>
          </cell>
          <cell r="F149">
            <v>2.2999999999999998</v>
          </cell>
          <cell r="G149" t="str">
            <v>virginica</v>
          </cell>
        </row>
        <row r="150">
          <cell r="C150">
            <v>6.3</v>
          </cell>
          <cell r="D150">
            <v>2.5</v>
          </cell>
          <cell r="E150">
            <v>5</v>
          </cell>
          <cell r="F150">
            <v>1.9</v>
          </cell>
          <cell r="G150" t="str">
            <v>virginica</v>
          </cell>
        </row>
        <row r="151">
          <cell r="C151">
            <v>6.5</v>
          </cell>
          <cell r="D151">
            <v>3</v>
          </cell>
          <cell r="E151">
            <v>5.2</v>
          </cell>
          <cell r="F151">
            <v>2</v>
          </cell>
          <cell r="G151" t="str">
            <v>virginica</v>
          </cell>
        </row>
        <row r="152">
          <cell r="C152">
            <v>6.2</v>
          </cell>
          <cell r="D152">
            <v>3.4</v>
          </cell>
          <cell r="E152">
            <v>5.4</v>
          </cell>
          <cell r="F152">
            <v>2.2999999999999998</v>
          </cell>
          <cell r="G152" t="str">
            <v>virginica</v>
          </cell>
        </row>
        <row r="153">
          <cell r="C153">
            <v>5.9</v>
          </cell>
          <cell r="D153">
            <v>3</v>
          </cell>
          <cell r="E153">
            <v>5.0999999999999996</v>
          </cell>
          <cell r="F153">
            <v>1.8</v>
          </cell>
          <cell r="G153" t="str">
            <v>virginica</v>
          </cell>
        </row>
      </sheetData>
      <sheetData sheetId="1">
        <row r="3">
          <cell r="D3" t="str">
            <v>f</v>
          </cell>
        </row>
        <row r="4">
          <cell r="B4" t="str">
            <v>setosa</v>
          </cell>
          <cell r="D4">
            <v>0.33333333333333331</v>
          </cell>
        </row>
        <row r="5">
          <cell r="B5" t="str">
            <v>versicolor</v>
          </cell>
          <cell r="D5">
            <v>0.33333333333333331</v>
          </cell>
        </row>
        <row r="6">
          <cell r="B6" t="str">
            <v>virginica</v>
          </cell>
          <cell r="D6">
            <v>0.33333333333333331</v>
          </cell>
        </row>
        <row r="11">
          <cell r="C11" t="str">
            <v>Sepal.Length</v>
          </cell>
          <cell r="D11" t="str">
            <v>Sepal.Width</v>
          </cell>
          <cell r="E11" t="str">
            <v>Petal.Length</v>
          </cell>
          <cell r="F11" t="str">
            <v>Petal.Width</v>
          </cell>
        </row>
        <row r="12">
          <cell r="B12" t="str">
            <v>setosa</v>
          </cell>
          <cell r="C12">
            <v>5.0059999999999993</v>
          </cell>
          <cell r="D12">
            <v>3.4280000000000008</v>
          </cell>
          <cell r="E12">
            <v>1.4620000000000002</v>
          </cell>
          <cell r="F12">
            <v>0.24599999999999991</v>
          </cell>
        </row>
        <row r="13">
          <cell r="B13" t="str">
            <v>versicolor</v>
          </cell>
          <cell r="C13">
            <v>5.9359999999999999</v>
          </cell>
          <cell r="D13">
            <v>2.7700000000000005</v>
          </cell>
          <cell r="E13">
            <v>4.26</v>
          </cell>
          <cell r="F13">
            <v>1.3259999999999998</v>
          </cell>
        </row>
        <row r="14">
          <cell r="B14" t="str">
            <v>virginica</v>
          </cell>
          <cell r="C14">
            <v>6.5879999999999983</v>
          </cell>
          <cell r="D14">
            <v>2.9739999999999998</v>
          </cell>
          <cell r="E14">
            <v>5.5519999999999996</v>
          </cell>
          <cell r="F14">
            <v>2.0259999999999998</v>
          </cell>
        </row>
        <row r="15">
          <cell r="B15" t="str">
            <v>global</v>
          </cell>
          <cell r="C15">
            <v>5.8433333333333346</v>
          </cell>
          <cell r="D15">
            <v>3.0573333333333341</v>
          </cell>
          <cell r="E15">
            <v>3.7580000000000027</v>
          </cell>
          <cell r="F15">
            <v>1.199333333333334</v>
          </cell>
        </row>
        <row r="23">
          <cell r="C23" t="str">
            <v>Sepal.Length</v>
          </cell>
          <cell r="D23" t="str">
            <v>Sepal.Width</v>
          </cell>
          <cell r="E23" t="str">
            <v>Petal.Length</v>
          </cell>
          <cell r="F23" t="str">
            <v>Petal.Width</v>
          </cell>
        </row>
        <row r="24">
          <cell r="B24" t="str">
            <v>setosa</v>
          </cell>
          <cell r="C24">
            <v>5.8</v>
          </cell>
          <cell r="D24">
            <v>4.4000000000000004</v>
          </cell>
          <cell r="E24">
            <v>1.9</v>
          </cell>
          <cell r="F24">
            <v>0.6</v>
          </cell>
        </row>
        <row r="25">
          <cell r="B25" t="str">
            <v>versicolor</v>
          </cell>
          <cell r="C25">
            <v>7</v>
          </cell>
          <cell r="D25">
            <v>3.4</v>
          </cell>
          <cell r="E25">
            <v>5.0999999999999996</v>
          </cell>
          <cell r="F25">
            <v>1.8</v>
          </cell>
        </row>
        <row r="26">
          <cell r="B26" t="str">
            <v>virginica</v>
          </cell>
          <cell r="C26">
            <v>7.9</v>
          </cell>
          <cell r="D26">
            <v>3.8</v>
          </cell>
          <cell r="E26">
            <v>6.9</v>
          </cell>
          <cell r="F26">
            <v>2.5</v>
          </cell>
        </row>
        <row r="27">
          <cell r="B27" t="str">
            <v>global</v>
          </cell>
          <cell r="C27">
            <v>7.9</v>
          </cell>
          <cell r="D27">
            <v>4.4000000000000004</v>
          </cell>
          <cell r="E27">
            <v>6.9</v>
          </cell>
          <cell r="F27">
            <v>2.5</v>
          </cell>
        </row>
        <row r="29">
          <cell r="C29" t="str">
            <v>Sepal.Length</v>
          </cell>
          <cell r="D29" t="str">
            <v>Sepal.Width</v>
          </cell>
          <cell r="E29" t="str">
            <v>Petal.Length</v>
          </cell>
          <cell r="F29" t="str">
            <v>Petal.Width</v>
          </cell>
        </row>
        <row r="30">
          <cell r="B30" t="str">
            <v>setosa</v>
          </cell>
          <cell r="C30">
            <v>4.3</v>
          </cell>
          <cell r="D30">
            <v>2.2999999999999998</v>
          </cell>
          <cell r="E30">
            <v>1</v>
          </cell>
          <cell r="F30">
            <v>0.1</v>
          </cell>
        </row>
        <row r="31">
          <cell r="B31" t="str">
            <v>versicolor</v>
          </cell>
          <cell r="C31">
            <v>4.9000000000000004</v>
          </cell>
          <cell r="D31">
            <v>2</v>
          </cell>
          <cell r="E31">
            <v>3</v>
          </cell>
          <cell r="F31">
            <v>1</v>
          </cell>
        </row>
        <row r="32">
          <cell r="B32" t="str">
            <v>virginica</v>
          </cell>
          <cell r="C32">
            <v>4.9000000000000004</v>
          </cell>
          <cell r="D32">
            <v>2.2000000000000002</v>
          </cell>
          <cell r="E32">
            <v>4.5</v>
          </cell>
          <cell r="F32">
            <v>1.4</v>
          </cell>
        </row>
        <row r="33">
          <cell r="B33" t="str">
            <v>global</v>
          </cell>
          <cell r="C33">
            <v>4.3</v>
          </cell>
          <cell r="D33">
            <v>2</v>
          </cell>
          <cell r="E33">
            <v>1</v>
          </cell>
          <cell r="F33">
            <v>0.1</v>
          </cell>
        </row>
      </sheetData>
      <sheetData sheetId="2" refreshError="1"/>
      <sheetData sheetId="3" refreshError="1"/>
      <sheetData sheetId="4">
        <row r="2">
          <cell r="C2" t="str">
            <v>Sepal.Length</v>
          </cell>
          <cell r="D2" t="str">
            <v>Sepal.Width</v>
          </cell>
          <cell r="E2" t="str">
            <v>Petal.Length</v>
          </cell>
          <cell r="F2" t="str">
            <v>Petal.Width</v>
          </cell>
          <cell r="J2" t="str">
            <v>Sepal.Length</v>
          </cell>
          <cell r="K2" t="str">
            <v>Sepal.Width</v>
          </cell>
          <cell r="L2" t="str">
            <v>Petal.Length</v>
          </cell>
          <cell r="M2" t="str">
            <v>Petal.Width</v>
          </cell>
          <cell r="Q2" t="str">
            <v>Sepal.Length</v>
          </cell>
          <cell r="R2" t="str">
            <v>Sepal.Width</v>
          </cell>
          <cell r="S2" t="str">
            <v>Petal.Length</v>
          </cell>
          <cell r="T2" t="str">
            <v>Petal.Width</v>
          </cell>
        </row>
        <row r="3">
          <cell r="C3">
            <v>5.0999999999999996</v>
          </cell>
          <cell r="D3">
            <v>3.5</v>
          </cell>
          <cell r="E3">
            <v>1.4</v>
          </cell>
          <cell r="F3">
            <v>0.2</v>
          </cell>
          <cell r="J3">
            <v>7</v>
          </cell>
          <cell r="K3">
            <v>3.2</v>
          </cell>
          <cell r="L3">
            <v>4.7</v>
          </cell>
          <cell r="M3">
            <v>1.4</v>
          </cell>
          <cell r="Q3">
            <v>6.3</v>
          </cell>
          <cell r="R3">
            <v>3.3</v>
          </cell>
          <cell r="S3">
            <v>6</v>
          </cell>
          <cell r="T3">
            <v>2.5</v>
          </cell>
        </row>
        <row r="4">
          <cell r="C4">
            <v>4.9000000000000004</v>
          </cell>
          <cell r="D4">
            <v>3</v>
          </cell>
          <cell r="E4">
            <v>1.4</v>
          </cell>
          <cell r="F4">
            <v>0.2</v>
          </cell>
          <cell r="J4">
            <v>6.4</v>
          </cell>
          <cell r="K4">
            <v>3.2</v>
          </cell>
          <cell r="L4">
            <v>4.5</v>
          </cell>
          <cell r="M4">
            <v>1.5</v>
          </cell>
          <cell r="Q4">
            <v>5.8</v>
          </cell>
          <cell r="R4">
            <v>2.7</v>
          </cell>
          <cell r="S4">
            <v>5.0999999999999996</v>
          </cell>
          <cell r="T4">
            <v>1.9</v>
          </cell>
        </row>
        <row r="5">
          <cell r="C5">
            <v>4.7</v>
          </cell>
          <cell r="D5">
            <v>3.2</v>
          </cell>
          <cell r="E5">
            <v>1.3</v>
          </cell>
          <cell r="F5">
            <v>0.2</v>
          </cell>
          <cell r="J5">
            <v>6.9</v>
          </cell>
          <cell r="K5">
            <v>3.1</v>
          </cell>
          <cell r="L5">
            <v>4.9000000000000004</v>
          </cell>
          <cell r="M5">
            <v>1.5</v>
          </cell>
          <cell r="Q5">
            <v>7.1</v>
          </cell>
          <cell r="R5">
            <v>3</v>
          </cell>
          <cell r="S5">
            <v>5.9</v>
          </cell>
          <cell r="T5">
            <v>2.1</v>
          </cell>
        </row>
        <row r="6">
          <cell r="C6">
            <v>4.5999999999999996</v>
          </cell>
          <cell r="D6">
            <v>3.1</v>
          </cell>
          <cell r="E6">
            <v>1.5</v>
          </cell>
          <cell r="F6">
            <v>0.2</v>
          </cell>
          <cell r="J6">
            <v>5.5</v>
          </cell>
          <cell r="K6">
            <v>2.2999999999999998</v>
          </cell>
          <cell r="L6">
            <v>4</v>
          </cell>
          <cell r="M6">
            <v>1.3</v>
          </cell>
          <cell r="Q6">
            <v>6.3</v>
          </cell>
          <cell r="R6">
            <v>2.9</v>
          </cell>
          <cell r="S6">
            <v>5.6</v>
          </cell>
          <cell r="T6">
            <v>1.8</v>
          </cell>
        </row>
        <row r="7">
          <cell r="C7">
            <v>5</v>
          </cell>
          <cell r="D7">
            <v>3.6</v>
          </cell>
          <cell r="E7">
            <v>1.4</v>
          </cell>
          <cell r="F7">
            <v>0.2</v>
          </cell>
          <cell r="J7">
            <v>6.5</v>
          </cell>
          <cell r="K7">
            <v>2.8</v>
          </cell>
          <cell r="L7">
            <v>4.5999999999999996</v>
          </cell>
          <cell r="M7">
            <v>1.5</v>
          </cell>
          <cell r="Q7">
            <v>6.5</v>
          </cell>
          <cell r="R7">
            <v>3</v>
          </cell>
          <cell r="S7">
            <v>5.8</v>
          </cell>
          <cell r="T7">
            <v>2.2000000000000002</v>
          </cell>
        </row>
        <row r="8">
          <cell r="C8">
            <v>5.4</v>
          </cell>
          <cell r="D8">
            <v>3.9</v>
          </cell>
          <cell r="E8">
            <v>1.7</v>
          </cell>
          <cell r="F8">
            <v>0.4</v>
          </cell>
          <cell r="J8">
            <v>5.7</v>
          </cell>
          <cell r="K8">
            <v>2.8</v>
          </cell>
          <cell r="L8">
            <v>4.5</v>
          </cell>
          <cell r="M8">
            <v>1.3</v>
          </cell>
          <cell r="Q8">
            <v>7.6</v>
          </cell>
          <cell r="R8">
            <v>3</v>
          </cell>
          <cell r="S8">
            <v>6.6</v>
          </cell>
          <cell r="T8">
            <v>2.1</v>
          </cell>
        </row>
        <row r="9">
          <cell r="C9">
            <v>4.5999999999999996</v>
          </cell>
          <cell r="D9">
            <v>3.4</v>
          </cell>
          <cell r="E9">
            <v>1.4</v>
          </cell>
          <cell r="F9">
            <v>0.3</v>
          </cell>
          <cell r="J9">
            <v>6.3</v>
          </cell>
          <cell r="K9">
            <v>3.3</v>
          </cell>
          <cell r="L9">
            <v>4.7</v>
          </cell>
          <cell r="M9">
            <v>1.6</v>
          </cell>
          <cell r="Q9">
            <v>4.9000000000000004</v>
          </cell>
          <cell r="R9">
            <v>2.5</v>
          </cell>
          <cell r="S9">
            <v>4.5</v>
          </cell>
          <cell r="T9">
            <v>1.7</v>
          </cell>
        </row>
        <row r="10">
          <cell r="C10">
            <v>5</v>
          </cell>
          <cell r="D10">
            <v>3.4</v>
          </cell>
          <cell r="E10">
            <v>1.5</v>
          </cell>
          <cell r="F10">
            <v>0.2</v>
          </cell>
          <cell r="J10">
            <v>4.9000000000000004</v>
          </cell>
          <cell r="K10">
            <v>2.4</v>
          </cell>
          <cell r="L10">
            <v>3.3</v>
          </cell>
          <cell r="M10">
            <v>1</v>
          </cell>
          <cell r="Q10">
            <v>7.3</v>
          </cell>
          <cell r="R10">
            <v>2.9</v>
          </cell>
          <cell r="S10">
            <v>6.3</v>
          </cell>
          <cell r="T10">
            <v>1.8</v>
          </cell>
        </row>
        <row r="11">
          <cell r="C11">
            <v>4.4000000000000004</v>
          </cell>
          <cell r="D11">
            <v>2.9</v>
          </cell>
          <cell r="E11">
            <v>1.4</v>
          </cell>
          <cell r="F11">
            <v>0.2</v>
          </cell>
          <cell r="J11">
            <v>6.6</v>
          </cell>
          <cell r="K11">
            <v>2.9</v>
          </cell>
          <cell r="L11">
            <v>4.5999999999999996</v>
          </cell>
          <cell r="M11">
            <v>1.3</v>
          </cell>
          <cell r="Q11">
            <v>6.7</v>
          </cell>
          <cell r="R11">
            <v>2.5</v>
          </cell>
          <cell r="S11">
            <v>5.8</v>
          </cell>
          <cell r="T11">
            <v>1.8</v>
          </cell>
        </row>
        <row r="12">
          <cell r="C12">
            <v>4.9000000000000004</v>
          </cell>
          <cell r="D12">
            <v>3.1</v>
          </cell>
          <cell r="E12">
            <v>1.5</v>
          </cell>
          <cell r="F12">
            <v>0.1</v>
          </cell>
          <cell r="J12">
            <v>5.2</v>
          </cell>
          <cell r="K12">
            <v>2.7</v>
          </cell>
          <cell r="L12">
            <v>3.9</v>
          </cell>
          <cell r="M12">
            <v>1.4</v>
          </cell>
          <cell r="Q12">
            <v>7.2</v>
          </cell>
          <cell r="R12">
            <v>3.6</v>
          </cell>
          <cell r="S12">
            <v>6.1</v>
          </cell>
          <cell r="T12">
            <v>2.5</v>
          </cell>
        </row>
        <row r="13">
          <cell r="C13">
            <v>5.4</v>
          </cell>
          <cell r="D13">
            <v>3.7</v>
          </cell>
          <cell r="E13">
            <v>1.5</v>
          </cell>
          <cell r="F13">
            <v>0.2</v>
          </cell>
          <cell r="J13">
            <v>5</v>
          </cell>
          <cell r="K13">
            <v>2</v>
          </cell>
          <cell r="L13">
            <v>3.5</v>
          </cell>
          <cell r="M13">
            <v>1</v>
          </cell>
          <cell r="Q13">
            <v>6.5</v>
          </cell>
          <cell r="R13">
            <v>3.2</v>
          </cell>
          <cell r="S13">
            <v>5.0999999999999996</v>
          </cell>
          <cell r="T13">
            <v>2</v>
          </cell>
        </row>
        <row r="14">
          <cell r="C14">
            <v>4.8</v>
          </cell>
          <cell r="D14">
            <v>3.4</v>
          </cell>
          <cell r="E14">
            <v>1.6</v>
          </cell>
          <cell r="F14">
            <v>0.2</v>
          </cell>
          <cell r="J14">
            <v>5.9</v>
          </cell>
          <cell r="K14">
            <v>3</v>
          </cell>
          <cell r="L14">
            <v>4.2</v>
          </cell>
          <cell r="M14">
            <v>1.5</v>
          </cell>
          <cell r="Q14">
            <v>6.4</v>
          </cell>
          <cell r="R14">
            <v>2.7</v>
          </cell>
          <cell r="S14">
            <v>5.3</v>
          </cell>
          <cell r="T14">
            <v>1.9</v>
          </cell>
        </row>
        <row r="15">
          <cell r="C15">
            <v>4.8</v>
          </cell>
          <cell r="D15">
            <v>3</v>
          </cell>
          <cell r="E15">
            <v>1.4</v>
          </cell>
          <cell r="F15">
            <v>0.1</v>
          </cell>
          <cell r="J15">
            <v>6</v>
          </cell>
          <cell r="K15">
            <v>2.2000000000000002</v>
          </cell>
          <cell r="L15">
            <v>4</v>
          </cell>
          <cell r="M15">
            <v>1</v>
          </cell>
          <cell r="Q15">
            <v>6.8</v>
          </cell>
          <cell r="R15">
            <v>3</v>
          </cell>
          <cell r="S15">
            <v>5.5</v>
          </cell>
          <cell r="T15">
            <v>2.1</v>
          </cell>
        </row>
        <row r="16">
          <cell r="C16">
            <v>4.3</v>
          </cell>
          <cell r="D16">
            <v>3</v>
          </cell>
          <cell r="E16">
            <v>1.1000000000000001</v>
          </cell>
          <cell r="F16">
            <v>0.1</v>
          </cell>
          <cell r="J16">
            <v>6.1</v>
          </cell>
          <cell r="K16">
            <v>2.9</v>
          </cell>
          <cell r="L16">
            <v>4.7</v>
          </cell>
          <cell r="M16">
            <v>1.4</v>
          </cell>
          <cell r="Q16">
            <v>5.7</v>
          </cell>
          <cell r="R16">
            <v>2.5</v>
          </cell>
          <cell r="S16">
            <v>5</v>
          </cell>
          <cell r="T16">
            <v>2</v>
          </cell>
        </row>
        <row r="17">
          <cell r="C17">
            <v>5.8</v>
          </cell>
          <cell r="D17">
            <v>4</v>
          </cell>
          <cell r="E17">
            <v>1.2</v>
          </cell>
          <cell r="F17">
            <v>0.2</v>
          </cell>
          <cell r="J17">
            <v>5.6</v>
          </cell>
          <cell r="K17">
            <v>2.9</v>
          </cell>
          <cell r="L17">
            <v>3.6</v>
          </cell>
          <cell r="M17">
            <v>1.3</v>
          </cell>
          <cell r="Q17">
            <v>5.8</v>
          </cell>
          <cell r="R17">
            <v>2.8</v>
          </cell>
          <cell r="S17">
            <v>5.0999999999999996</v>
          </cell>
          <cell r="T17">
            <v>2.4</v>
          </cell>
        </row>
        <row r="18">
          <cell r="C18">
            <v>5.7</v>
          </cell>
          <cell r="D18">
            <v>4.4000000000000004</v>
          </cell>
          <cell r="E18">
            <v>1.5</v>
          </cell>
          <cell r="F18">
            <v>0.4</v>
          </cell>
          <cell r="J18">
            <v>6.7</v>
          </cell>
          <cell r="K18">
            <v>3.1</v>
          </cell>
          <cell r="L18">
            <v>4.4000000000000004</v>
          </cell>
          <cell r="M18">
            <v>1.4</v>
          </cell>
          <cell r="Q18">
            <v>6.4</v>
          </cell>
          <cell r="R18">
            <v>3.2</v>
          </cell>
          <cell r="S18">
            <v>5.3</v>
          </cell>
          <cell r="T18">
            <v>2.2999999999999998</v>
          </cell>
        </row>
        <row r="19">
          <cell r="C19">
            <v>5.4</v>
          </cell>
          <cell r="D19">
            <v>3.9</v>
          </cell>
          <cell r="E19">
            <v>1.3</v>
          </cell>
          <cell r="F19">
            <v>0.4</v>
          </cell>
          <cell r="J19">
            <v>5.6</v>
          </cell>
          <cell r="K19">
            <v>3</v>
          </cell>
          <cell r="L19">
            <v>4.5</v>
          </cell>
          <cell r="M19">
            <v>1.5</v>
          </cell>
          <cell r="Q19">
            <v>6.5</v>
          </cell>
          <cell r="R19">
            <v>3</v>
          </cell>
          <cell r="S19">
            <v>5.5</v>
          </cell>
          <cell r="T19">
            <v>1.8</v>
          </cell>
        </row>
        <row r="20">
          <cell r="C20">
            <v>5.0999999999999996</v>
          </cell>
          <cell r="D20">
            <v>3.5</v>
          </cell>
          <cell r="E20">
            <v>1.4</v>
          </cell>
          <cell r="F20">
            <v>0.3</v>
          </cell>
          <cell r="J20">
            <v>5.8</v>
          </cell>
          <cell r="K20">
            <v>2.7</v>
          </cell>
          <cell r="L20">
            <v>4.0999999999999996</v>
          </cell>
          <cell r="M20">
            <v>1</v>
          </cell>
          <cell r="Q20">
            <v>7.7</v>
          </cell>
          <cell r="R20">
            <v>3.8</v>
          </cell>
          <cell r="S20">
            <v>6.7</v>
          </cell>
          <cell r="T20">
            <v>2.2000000000000002</v>
          </cell>
        </row>
        <row r="21">
          <cell r="C21">
            <v>5.7</v>
          </cell>
          <cell r="D21">
            <v>3.8</v>
          </cell>
          <cell r="E21">
            <v>1.7</v>
          </cell>
          <cell r="F21">
            <v>0.3</v>
          </cell>
          <cell r="J21">
            <v>6.2</v>
          </cell>
          <cell r="K21">
            <v>2.2000000000000002</v>
          </cell>
          <cell r="L21">
            <v>4.5</v>
          </cell>
          <cell r="M21">
            <v>1.5</v>
          </cell>
          <cell r="Q21">
            <v>7.7</v>
          </cell>
          <cell r="R21">
            <v>2.6</v>
          </cell>
          <cell r="S21">
            <v>6.9</v>
          </cell>
          <cell r="T21">
            <v>2.2999999999999998</v>
          </cell>
        </row>
        <row r="22">
          <cell r="C22">
            <v>5.0999999999999996</v>
          </cell>
          <cell r="D22">
            <v>3.8</v>
          </cell>
          <cell r="E22">
            <v>1.5</v>
          </cell>
          <cell r="F22">
            <v>0.3</v>
          </cell>
          <cell r="J22">
            <v>5.6</v>
          </cell>
          <cell r="K22">
            <v>2.5</v>
          </cell>
          <cell r="L22">
            <v>3.9</v>
          </cell>
          <cell r="M22">
            <v>1.1000000000000001</v>
          </cell>
          <cell r="Q22">
            <v>6</v>
          </cell>
          <cell r="R22">
            <v>2.2000000000000002</v>
          </cell>
          <cell r="S22">
            <v>5</v>
          </cell>
          <cell r="T22">
            <v>1.5</v>
          </cell>
        </row>
        <row r="23">
          <cell r="C23">
            <v>5.4</v>
          </cell>
          <cell r="D23">
            <v>3.4</v>
          </cell>
          <cell r="E23">
            <v>1.7</v>
          </cell>
          <cell r="F23">
            <v>0.2</v>
          </cell>
          <cell r="J23">
            <v>5.9</v>
          </cell>
          <cell r="K23">
            <v>3.2</v>
          </cell>
          <cell r="L23">
            <v>4.8</v>
          </cell>
          <cell r="M23">
            <v>1.8</v>
          </cell>
          <cell r="Q23">
            <v>6.9</v>
          </cell>
          <cell r="R23">
            <v>3.2</v>
          </cell>
          <cell r="S23">
            <v>5.7</v>
          </cell>
          <cell r="T23">
            <v>2.2999999999999998</v>
          </cell>
        </row>
        <row r="24">
          <cell r="C24">
            <v>5.0999999999999996</v>
          </cell>
          <cell r="D24">
            <v>3.7</v>
          </cell>
          <cell r="E24">
            <v>1.5</v>
          </cell>
          <cell r="F24">
            <v>0.4</v>
          </cell>
          <cell r="J24">
            <v>6.1</v>
          </cell>
          <cell r="K24">
            <v>2.8</v>
          </cell>
          <cell r="L24">
            <v>4</v>
          </cell>
          <cell r="M24">
            <v>1.3</v>
          </cell>
          <cell r="Q24">
            <v>5.6</v>
          </cell>
          <cell r="R24">
            <v>2.8</v>
          </cell>
          <cell r="S24">
            <v>4.9000000000000004</v>
          </cell>
          <cell r="T24">
            <v>2</v>
          </cell>
        </row>
        <row r="25">
          <cell r="C25">
            <v>4.5999999999999996</v>
          </cell>
          <cell r="D25">
            <v>3.6</v>
          </cell>
          <cell r="E25">
            <v>1</v>
          </cell>
          <cell r="F25">
            <v>0.2</v>
          </cell>
          <cell r="J25">
            <v>6.3</v>
          </cell>
          <cell r="K25">
            <v>2.5</v>
          </cell>
          <cell r="L25">
            <v>4.9000000000000004</v>
          </cell>
          <cell r="M25">
            <v>1.5</v>
          </cell>
          <cell r="Q25">
            <v>7.7</v>
          </cell>
          <cell r="R25">
            <v>2.8</v>
          </cell>
          <cell r="S25">
            <v>6.7</v>
          </cell>
          <cell r="T25">
            <v>2</v>
          </cell>
        </row>
        <row r="26">
          <cell r="C26">
            <v>5.0999999999999996</v>
          </cell>
          <cell r="D26">
            <v>3.3</v>
          </cell>
          <cell r="E26">
            <v>1.7</v>
          </cell>
          <cell r="F26">
            <v>0.5</v>
          </cell>
          <cell r="J26">
            <v>6.1</v>
          </cell>
          <cell r="K26">
            <v>2.8</v>
          </cell>
          <cell r="L26">
            <v>4.7</v>
          </cell>
          <cell r="M26">
            <v>1.2</v>
          </cell>
          <cell r="Q26">
            <v>6.3</v>
          </cell>
          <cell r="R26">
            <v>2.7</v>
          </cell>
          <cell r="S26">
            <v>4.9000000000000004</v>
          </cell>
          <cell r="T26">
            <v>1.8</v>
          </cell>
        </row>
        <row r="27">
          <cell r="C27">
            <v>4.8</v>
          </cell>
          <cell r="D27">
            <v>3.4</v>
          </cell>
          <cell r="E27">
            <v>1.9</v>
          </cell>
          <cell r="F27">
            <v>0.2</v>
          </cell>
          <cell r="J27">
            <v>6.4</v>
          </cell>
          <cell r="K27">
            <v>2.9</v>
          </cell>
          <cell r="L27">
            <v>4.3</v>
          </cell>
          <cell r="M27">
            <v>1.3</v>
          </cell>
          <cell r="Q27">
            <v>6.7</v>
          </cell>
          <cell r="R27">
            <v>3.3</v>
          </cell>
          <cell r="S27">
            <v>5.7</v>
          </cell>
          <cell r="T27">
            <v>2.1</v>
          </cell>
        </row>
        <row r="28">
          <cell r="C28">
            <v>5</v>
          </cell>
          <cell r="D28">
            <v>3</v>
          </cell>
          <cell r="E28">
            <v>1.6</v>
          </cell>
          <cell r="F28">
            <v>0.2</v>
          </cell>
          <cell r="J28">
            <v>6.6</v>
          </cell>
          <cell r="K28">
            <v>3</v>
          </cell>
          <cell r="L28">
            <v>4.4000000000000004</v>
          </cell>
          <cell r="M28">
            <v>1.4</v>
          </cell>
          <cell r="Q28">
            <v>7.2</v>
          </cell>
          <cell r="R28">
            <v>3.2</v>
          </cell>
          <cell r="S28">
            <v>6</v>
          </cell>
          <cell r="T28">
            <v>1.8</v>
          </cell>
        </row>
        <row r="29">
          <cell r="C29">
            <v>5</v>
          </cell>
          <cell r="D29">
            <v>3.4</v>
          </cell>
          <cell r="E29">
            <v>1.6</v>
          </cell>
          <cell r="F29">
            <v>0.4</v>
          </cell>
          <cell r="J29">
            <v>6.8</v>
          </cell>
          <cell r="K29">
            <v>2.8</v>
          </cell>
          <cell r="L29">
            <v>4.8</v>
          </cell>
          <cell r="M29">
            <v>1.4</v>
          </cell>
          <cell r="Q29">
            <v>6.2</v>
          </cell>
          <cell r="R29">
            <v>2.8</v>
          </cell>
          <cell r="S29">
            <v>4.8</v>
          </cell>
          <cell r="T29">
            <v>1.8</v>
          </cell>
        </row>
        <row r="30">
          <cell r="C30">
            <v>5.2</v>
          </cell>
          <cell r="D30">
            <v>3.5</v>
          </cell>
          <cell r="E30">
            <v>1.5</v>
          </cell>
          <cell r="F30">
            <v>0.2</v>
          </cell>
          <cell r="J30">
            <v>6.7</v>
          </cell>
          <cell r="K30">
            <v>3</v>
          </cell>
          <cell r="L30">
            <v>5</v>
          </cell>
          <cell r="M30">
            <v>1.7</v>
          </cell>
          <cell r="Q30">
            <v>6.1</v>
          </cell>
          <cell r="R30">
            <v>3</v>
          </cell>
          <cell r="S30">
            <v>4.9000000000000004</v>
          </cell>
          <cell r="T30">
            <v>1.8</v>
          </cell>
        </row>
        <row r="31">
          <cell r="C31">
            <v>5.2</v>
          </cell>
          <cell r="D31">
            <v>3.4</v>
          </cell>
          <cell r="E31">
            <v>1.4</v>
          </cell>
          <cell r="F31">
            <v>0.2</v>
          </cell>
          <cell r="J31">
            <v>6</v>
          </cell>
          <cell r="K31">
            <v>2.9</v>
          </cell>
          <cell r="L31">
            <v>4.5</v>
          </cell>
          <cell r="M31">
            <v>1.5</v>
          </cell>
          <cell r="Q31">
            <v>6.4</v>
          </cell>
          <cell r="R31">
            <v>2.8</v>
          </cell>
          <cell r="S31">
            <v>5.6</v>
          </cell>
          <cell r="T31">
            <v>2.1</v>
          </cell>
        </row>
        <row r="32">
          <cell r="C32">
            <v>4.7</v>
          </cell>
          <cell r="D32">
            <v>3.2</v>
          </cell>
          <cell r="E32">
            <v>1.6</v>
          </cell>
          <cell r="F32">
            <v>0.2</v>
          </cell>
          <cell r="J32">
            <v>5.7</v>
          </cell>
          <cell r="K32">
            <v>2.6</v>
          </cell>
          <cell r="L32">
            <v>3.5</v>
          </cell>
          <cell r="M32">
            <v>1</v>
          </cell>
          <cell r="Q32">
            <v>7.2</v>
          </cell>
          <cell r="R32">
            <v>3</v>
          </cell>
          <cell r="S32">
            <v>5.8</v>
          </cell>
          <cell r="T32">
            <v>1.6</v>
          </cell>
        </row>
        <row r="33">
          <cell r="C33">
            <v>4.8</v>
          </cell>
          <cell r="D33">
            <v>3.1</v>
          </cell>
          <cell r="E33">
            <v>1.6</v>
          </cell>
          <cell r="F33">
            <v>0.2</v>
          </cell>
          <cell r="J33">
            <v>5.5</v>
          </cell>
          <cell r="K33">
            <v>2.4</v>
          </cell>
          <cell r="L33">
            <v>3.8</v>
          </cell>
          <cell r="M33">
            <v>1.1000000000000001</v>
          </cell>
          <cell r="Q33">
            <v>7.4</v>
          </cell>
          <cell r="R33">
            <v>2.8</v>
          </cell>
          <cell r="S33">
            <v>6.1</v>
          </cell>
          <cell r="T33">
            <v>1.9</v>
          </cell>
        </row>
        <row r="34">
          <cell r="C34">
            <v>5.4</v>
          </cell>
          <cell r="D34">
            <v>3.4</v>
          </cell>
          <cell r="E34">
            <v>1.5</v>
          </cell>
          <cell r="F34">
            <v>0.4</v>
          </cell>
          <cell r="J34">
            <v>5.5</v>
          </cell>
          <cell r="K34">
            <v>2.4</v>
          </cell>
          <cell r="L34">
            <v>3.7</v>
          </cell>
          <cell r="M34">
            <v>1</v>
          </cell>
          <cell r="Q34">
            <v>7.9</v>
          </cell>
          <cell r="R34">
            <v>3.8</v>
          </cell>
          <cell r="S34">
            <v>6.4</v>
          </cell>
          <cell r="T34">
            <v>2</v>
          </cell>
        </row>
        <row r="35">
          <cell r="C35">
            <v>5.2</v>
          </cell>
          <cell r="D35">
            <v>4.0999999999999996</v>
          </cell>
          <cell r="E35">
            <v>1.5</v>
          </cell>
          <cell r="F35">
            <v>0.1</v>
          </cell>
          <cell r="J35">
            <v>5.8</v>
          </cell>
          <cell r="K35">
            <v>2.7</v>
          </cell>
          <cell r="L35">
            <v>3.9</v>
          </cell>
          <cell r="M35">
            <v>1.2</v>
          </cell>
          <cell r="Q35">
            <v>6.4</v>
          </cell>
          <cell r="R35">
            <v>2.8</v>
          </cell>
          <cell r="S35">
            <v>5.6</v>
          </cell>
          <cell r="T35">
            <v>2.2000000000000002</v>
          </cell>
        </row>
        <row r="36">
          <cell r="C36">
            <v>5.5</v>
          </cell>
          <cell r="D36">
            <v>4.2</v>
          </cell>
          <cell r="E36">
            <v>1.4</v>
          </cell>
          <cell r="F36">
            <v>0.2</v>
          </cell>
          <cell r="J36">
            <v>6</v>
          </cell>
          <cell r="K36">
            <v>2.7</v>
          </cell>
          <cell r="L36">
            <v>5.0999999999999996</v>
          </cell>
          <cell r="M36">
            <v>1.6</v>
          </cell>
          <cell r="Q36">
            <v>6.3</v>
          </cell>
          <cell r="R36">
            <v>2.8</v>
          </cell>
          <cell r="S36">
            <v>5.0999999999999996</v>
          </cell>
          <cell r="T36">
            <v>1.5</v>
          </cell>
        </row>
        <row r="37">
          <cell r="C37">
            <v>4.9000000000000004</v>
          </cell>
          <cell r="D37">
            <v>3.1</v>
          </cell>
          <cell r="E37">
            <v>1.5</v>
          </cell>
          <cell r="F37">
            <v>0.2</v>
          </cell>
          <cell r="J37">
            <v>5.4</v>
          </cell>
          <cell r="K37">
            <v>3</v>
          </cell>
          <cell r="L37">
            <v>4.5</v>
          </cell>
          <cell r="M37">
            <v>1.5</v>
          </cell>
          <cell r="Q37">
            <v>6.1</v>
          </cell>
          <cell r="R37">
            <v>2.6</v>
          </cell>
          <cell r="S37">
            <v>5.6</v>
          </cell>
          <cell r="T37">
            <v>1.4</v>
          </cell>
        </row>
        <row r="38">
          <cell r="C38">
            <v>5</v>
          </cell>
          <cell r="D38">
            <v>3.2</v>
          </cell>
          <cell r="E38">
            <v>1.2</v>
          </cell>
          <cell r="F38">
            <v>0.2</v>
          </cell>
          <cell r="J38">
            <v>6</v>
          </cell>
          <cell r="K38">
            <v>3.4</v>
          </cell>
          <cell r="L38">
            <v>4.5</v>
          </cell>
          <cell r="M38">
            <v>1.6</v>
          </cell>
          <cell r="Q38">
            <v>7.7</v>
          </cell>
          <cell r="R38">
            <v>3</v>
          </cell>
          <cell r="S38">
            <v>6.1</v>
          </cell>
          <cell r="T38">
            <v>2.2999999999999998</v>
          </cell>
        </row>
        <row r="39">
          <cell r="C39">
            <v>5.5</v>
          </cell>
          <cell r="D39">
            <v>3.5</v>
          </cell>
          <cell r="E39">
            <v>1.3</v>
          </cell>
          <cell r="F39">
            <v>0.2</v>
          </cell>
          <cell r="J39">
            <v>6.7</v>
          </cell>
          <cell r="K39">
            <v>3.1</v>
          </cell>
          <cell r="L39">
            <v>4.7</v>
          </cell>
          <cell r="M39">
            <v>1.5</v>
          </cell>
          <cell r="Q39">
            <v>6.3</v>
          </cell>
          <cell r="R39">
            <v>3.4</v>
          </cell>
          <cell r="S39">
            <v>5.6</v>
          </cell>
          <cell r="T39">
            <v>2.4</v>
          </cell>
        </row>
        <row r="40">
          <cell r="C40">
            <v>4.9000000000000004</v>
          </cell>
          <cell r="D40">
            <v>3.6</v>
          </cell>
          <cell r="E40">
            <v>1.4</v>
          </cell>
          <cell r="F40">
            <v>0.1</v>
          </cell>
          <cell r="J40">
            <v>6.3</v>
          </cell>
          <cell r="K40">
            <v>2.2999999999999998</v>
          </cell>
          <cell r="L40">
            <v>4.4000000000000004</v>
          </cell>
          <cell r="M40">
            <v>1.3</v>
          </cell>
          <cell r="Q40">
            <v>6.4</v>
          </cell>
          <cell r="R40">
            <v>3.1</v>
          </cell>
          <cell r="S40">
            <v>5.5</v>
          </cell>
          <cell r="T40">
            <v>1.8</v>
          </cell>
        </row>
        <row r="41">
          <cell r="C41">
            <v>4.4000000000000004</v>
          </cell>
          <cell r="D41">
            <v>3</v>
          </cell>
          <cell r="E41">
            <v>1.3</v>
          </cell>
          <cell r="F41">
            <v>0.2</v>
          </cell>
          <cell r="J41">
            <v>5.6</v>
          </cell>
          <cell r="K41">
            <v>3</v>
          </cell>
          <cell r="L41">
            <v>4.0999999999999996</v>
          </cell>
          <cell r="M41">
            <v>1.3</v>
          </cell>
          <cell r="Q41">
            <v>6</v>
          </cell>
          <cell r="R41">
            <v>3</v>
          </cell>
          <cell r="S41">
            <v>4.8</v>
          </cell>
          <cell r="T41">
            <v>1.8</v>
          </cell>
        </row>
        <row r="42">
          <cell r="C42">
            <v>5.0999999999999996</v>
          </cell>
          <cell r="D42">
            <v>3.4</v>
          </cell>
          <cell r="E42">
            <v>1.5</v>
          </cell>
          <cell r="F42">
            <v>0.2</v>
          </cell>
          <cell r="J42">
            <v>5.5</v>
          </cell>
          <cell r="K42">
            <v>2.5</v>
          </cell>
          <cell r="L42">
            <v>4</v>
          </cell>
          <cell r="M42">
            <v>1.3</v>
          </cell>
          <cell r="Q42">
            <v>6.9</v>
          </cell>
          <cell r="R42">
            <v>3.1</v>
          </cell>
          <cell r="S42">
            <v>5.4</v>
          </cell>
          <cell r="T42">
            <v>2.1</v>
          </cell>
        </row>
        <row r="43">
          <cell r="C43">
            <v>5</v>
          </cell>
          <cell r="D43">
            <v>3.5</v>
          </cell>
          <cell r="E43">
            <v>1.3</v>
          </cell>
          <cell r="F43">
            <v>0.3</v>
          </cell>
          <cell r="J43">
            <v>5.5</v>
          </cell>
          <cell r="K43">
            <v>2.6</v>
          </cell>
          <cell r="L43">
            <v>4.4000000000000004</v>
          </cell>
          <cell r="M43">
            <v>1.2</v>
          </cell>
          <cell r="Q43">
            <v>6.7</v>
          </cell>
          <cell r="R43">
            <v>3.1</v>
          </cell>
          <cell r="S43">
            <v>5.6</v>
          </cell>
          <cell r="T43">
            <v>2.4</v>
          </cell>
        </row>
        <row r="44">
          <cell r="C44">
            <v>4.5</v>
          </cell>
          <cell r="D44">
            <v>2.2999999999999998</v>
          </cell>
          <cell r="E44">
            <v>1.3</v>
          </cell>
          <cell r="F44">
            <v>0.3</v>
          </cell>
          <cell r="J44">
            <v>6.1</v>
          </cell>
          <cell r="K44">
            <v>3</v>
          </cell>
          <cell r="L44">
            <v>4.5999999999999996</v>
          </cell>
          <cell r="M44">
            <v>1.4</v>
          </cell>
          <cell r="Q44">
            <v>6.9</v>
          </cell>
          <cell r="R44">
            <v>3.1</v>
          </cell>
          <cell r="S44">
            <v>5.0999999999999996</v>
          </cell>
          <cell r="T44">
            <v>2.2999999999999998</v>
          </cell>
        </row>
        <row r="45">
          <cell r="C45">
            <v>4.4000000000000004</v>
          </cell>
          <cell r="D45">
            <v>3.2</v>
          </cell>
          <cell r="E45">
            <v>1.3</v>
          </cell>
          <cell r="F45">
            <v>0.2</v>
          </cell>
          <cell r="J45">
            <v>5.8</v>
          </cell>
          <cell r="K45">
            <v>2.6</v>
          </cell>
          <cell r="L45">
            <v>4</v>
          </cell>
          <cell r="M45">
            <v>1.2</v>
          </cell>
          <cell r="Q45">
            <v>5.8</v>
          </cell>
          <cell r="R45">
            <v>2.7</v>
          </cell>
          <cell r="S45">
            <v>5.0999999999999996</v>
          </cell>
          <cell r="T45">
            <v>1.9</v>
          </cell>
        </row>
        <row r="46">
          <cell r="C46">
            <v>5</v>
          </cell>
          <cell r="D46">
            <v>3.5</v>
          </cell>
          <cell r="E46">
            <v>1.6</v>
          </cell>
          <cell r="F46">
            <v>0.6</v>
          </cell>
          <cell r="J46">
            <v>5</v>
          </cell>
          <cell r="K46">
            <v>2.2999999999999998</v>
          </cell>
          <cell r="L46">
            <v>3.3</v>
          </cell>
          <cell r="M46">
            <v>1</v>
          </cell>
          <cell r="Q46">
            <v>6.8</v>
          </cell>
          <cell r="R46">
            <v>3.2</v>
          </cell>
          <cell r="S46">
            <v>5.9</v>
          </cell>
          <cell r="T46">
            <v>2.2999999999999998</v>
          </cell>
        </row>
        <row r="47">
          <cell r="C47">
            <v>5.0999999999999996</v>
          </cell>
          <cell r="D47">
            <v>3.8</v>
          </cell>
          <cell r="E47">
            <v>1.9</v>
          </cell>
          <cell r="F47">
            <v>0.4</v>
          </cell>
          <cell r="J47">
            <v>5.6</v>
          </cell>
          <cell r="K47">
            <v>2.7</v>
          </cell>
          <cell r="L47">
            <v>4.2</v>
          </cell>
          <cell r="M47">
            <v>1.3</v>
          </cell>
          <cell r="Q47">
            <v>6.7</v>
          </cell>
          <cell r="R47">
            <v>3.3</v>
          </cell>
          <cell r="S47">
            <v>5.7</v>
          </cell>
          <cell r="T47">
            <v>2.5</v>
          </cell>
        </row>
        <row r="48">
          <cell r="C48">
            <v>4.8</v>
          </cell>
          <cell r="D48">
            <v>3</v>
          </cell>
          <cell r="E48">
            <v>1.4</v>
          </cell>
          <cell r="F48">
            <v>0.3</v>
          </cell>
          <cell r="J48">
            <v>5.7</v>
          </cell>
          <cell r="K48">
            <v>3</v>
          </cell>
          <cell r="L48">
            <v>4.2</v>
          </cell>
          <cell r="M48">
            <v>1.2</v>
          </cell>
          <cell r="Q48">
            <v>6.7</v>
          </cell>
          <cell r="R48">
            <v>3</v>
          </cell>
          <cell r="S48">
            <v>5.2</v>
          </cell>
          <cell r="T48">
            <v>2.2999999999999998</v>
          </cell>
        </row>
        <row r="49">
          <cell r="C49">
            <v>5.0999999999999996</v>
          </cell>
          <cell r="D49">
            <v>3.8</v>
          </cell>
          <cell r="E49">
            <v>1.6</v>
          </cell>
          <cell r="F49">
            <v>0.2</v>
          </cell>
          <cell r="J49">
            <v>5.7</v>
          </cell>
          <cell r="K49">
            <v>2.9</v>
          </cell>
          <cell r="L49">
            <v>4.2</v>
          </cell>
          <cell r="M49">
            <v>1.3</v>
          </cell>
          <cell r="Q49">
            <v>6.3</v>
          </cell>
          <cell r="R49">
            <v>2.5</v>
          </cell>
          <cell r="S49">
            <v>5</v>
          </cell>
          <cell r="T49">
            <v>1.9</v>
          </cell>
        </row>
        <row r="50">
          <cell r="C50">
            <v>4.5999999999999996</v>
          </cell>
          <cell r="D50">
            <v>3.2</v>
          </cell>
          <cell r="E50">
            <v>1.4</v>
          </cell>
          <cell r="F50">
            <v>0.2</v>
          </cell>
          <cell r="J50">
            <v>6.2</v>
          </cell>
          <cell r="K50">
            <v>2.9</v>
          </cell>
          <cell r="L50">
            <v>4.3</v>
          </cell>
          <cell r="M50">
            <v>1.3</v>
          </cell>
          <cell r="Q50">
            <v>6.5</v>
          </cell>
          <cell r="R50">
            <v>3</v>
          </cell>
          <cell r="S50">
            <v>5.2</v>
          </cell>
          <cell r="T50">
            <v>2</v>
          </cell>
        </row>
        <row r="51">
          <cell r="C51">
            <v>5.3</v>
          </cell>
          <cell r="D51">
            <v>3.7</v>
          </cell>
          <cell r="E51">
            <v>1.5</v>
          </cell>
          <cell r="F51">
            <v>0.2</v>
          </cell>
          <cell r="J51">
            <v>5.0999999999999996</v>
          </cell>
          <cell r="K51">
            <v>2.5</v>
          </cell>
          <cell r="L51">
            <v>3</v>
          </cell>
          <cell r="M51">
            <v>1.1000000000000001</v>
          </cell>
          <cell r="Q51">
            <v>6.2</v>
          </cell>
          <cell r="R51">
            <v>3.4</v>
          </cell>
          <cell r="S51">
            <v>5.4</v>
          </cell>
          <cell r="T51">
            <v>2.2999999999999998</v>
          </cell>
        </row>
        <row r="52">
          <cell r="C52">
            <v>5</v>
          </cell>
          <cell r="D52">
            <v>3.3</v>
          </cell>
          <cell r="E52">
            <v>1.4</v>
          </cell>
          <cell r="F52">
            <v>0.2</v>
          </cell>
          <cell r="J52">
            <v>5.7</v>
          </cell>
          <cell r="K52">
            <v>2.8</v>
          </cell>
          <cell r="L52">
            <v>4.0999999999999996</v>
          </cell>
          <cell r="M52">
            <v>1.3</v>
          </cell>
          <cell r="Q52">
            <v>5.9</v>
          </cell>
          <cell r="R52">
            <v>3</v>
          </cell>
          <cell r="S52">
            <v>5.0999999999999996</v>
          </cell>
          <cell r="T52">
            <v>1.8</v>
          </cell>
        </row>
        <row r="54">
          <cell r="K54" t="str">
            <v>Versicolor</v>
          </cell>
          <cell r="T54" t="str">
            <v>Versicolor</v>
          </cell>
        </row>
        <row r="55">
          <cell r="D55" t="str">
            <v>Sepal.Width</v>
          </cell>
          <cell r="F55" t="str">
            <v>Petal.Length</v>
          </cell>
          <cell r="K55" t="str">
            <v>Sepal.Length</v>
          </cell>
          <cell r="M55" t="str">
            <v>Sepal.Width</v>
          </cell>
          <cell r="Q55" t="str">
            <v>Petal.Width</v>
          </cell>
          <cell r="T55" t="str">
            <v>Sepal.Length</v>
          </cell>
        </row>
        <row r="56">
          <cell r="C56" t="str">
            <v>Conteo</v>
          </cell>
          <cell r="D56" t="str">
            <v>Intervalo</v>
          </cell>
          <cell r="E56" t="str">
            <v>Conteo</v>
          </cell>
          <cell r="F56" t="str">
            <v>Intervalo</v>
          </cell>
          <cell r="K56" t="str">
            <v>Intervalo</v>
          </cell>
          <cell r="L56" t="str">
            <v>Conteo</v>
          </cell>
          <cell r="M56" t="str">
            <v>Intervalo</v>
          </cell>
          <cell r="Q56" t="str">
            <v>Intervalo</v>
          </cell>
          <cell r="R56" t="str">
            <v>Conteo</v>
          </cell>
          <cell r="T56" t="str">
            <v>Intervalo</v>
          </cell>
        </row>
        <row r="57">
          <cell r="C57">
            <v>5</v>
          </cell>
          <cell r="D57" t="str">
            <v>[2-2,2)</v>
          </cell>
          <cell r="E57">
            <v>0</v>
          </cell>
          <cell r="F57" t="str">
            <v>[1-1,5)</v>
          </cell>
          <cell r="K57" t="str">
            <v>[4,3-4,6)</v>
          </cell>
          <cell r="L57">
            <v>0</v>
          </cell>
          <cell r="M57" t="str">
            <v>[2-2,2)</v>
          </cell>
          <cell r="Q57" t="str">
            <v>[0,1-0,3)</v>
          </cell>
          <cell r="R57">
            <v>0</v>
          </cell>
          <cell r="T57" t="str">
            <v>[4,3-4,6)</v>
          </cell>
        </row>
        <row r="58">
          <cell r="C58">
            <v>11</v>
          </cell>
          <cell r="D58" t="str">
            <v>[2,2-2,4)</v>
          </cell>
          <cell r="E58">
            <v>1</v>
          </cell>
          <cell r="F58" t="str">
            <v>[1,5-2)</v>
          </cell>
          <cell r="K58" t="str">
            <v>[4,6-4,9)</v>
          </cell>
          <cell r="L58">
            <v>0</v>
          </cell>
          <cell r="M58" t="str">
            <v>[2,2-2,4)</v>
          </cell>
          <cell r="Q58" t="str">
            <v>[0,3-0,5)</v>
          </cell>
          <cell r="R58">
            <v>0</v>
          </cell>
          <cell r="T58" t="str">
            <v>[4,6-4,9)</v>
          </cell>
        </row>
        <row r="59">
          <cell r="C59">
            <v>20</v>
          </cell>
          <cell r="D59" t="str">
            <v>[2,4-2,6)</v>
          </cell>
          <cell r="E59">
            <v>0</v>
          </cell>
          <cell r="F59" t="str">
            <v>[2-2,4)</v>
          </cell>
          <cell r="K59" t="str">
            <v>[4,9-5,2)</v>
          </cell>
          <cell r="L59">
            <v>4</v>
          </cell>
          <cell r="M59" t="str">
            <v>[2,4-2,6)</v>
          </cell>
          <cell r="Q59" t="str">
            <v>[0,5-0,7)</v>
          </cell>
          <cell r="R59">
            <v>0</v>
          </cell>
          <cell r="T59" t="str">
            <v>[4,9-5,2)</v>
          </cell>
        </row>
        <row r="60">
          <cell r="C60">
            <v>9</v>
          </cell>
          <cell r="D60" t="str">
            <v>[2,6-2,8)</v>
          </cell>
          <cell r="E60">
            <v>0</v>
          </cell>
          <cell r="F60" t="str">
            <v>[2,4-2,9)</v>
          </cell>
          <cell r="K60" t="str">
            <v>[5,2-5,5)</v>
          </cell>
          <cell r="L60">
            <v>2</v>
          </cell>
          <cell r="M60" t="str">
            <v>[2,6-2,8)</v>
          </cell>
          <cell r="Q60" t="str">
            <v>[0,7-0.9)</v>
          </cell>
          <cell r="R60">
            <v>0</v>
          </cell>
          <cell r="T60" t="str">
            <v>[5,2-5,5)</v>
          </cell>
        </row>
        <row r="61">
          <cell r="C61">
            <v>4</v>
          </cell>
          <cell r="D61" t="str">
            <v>[2,8-3)</v>
          </cell>
          <cell r="E61">
            <v>1</v>
          </cell>
          <cell r="F61" t="str">
            <v>[2,9-3,4)</v>
          </cell>
          <cell r="K61" t="str">
            <v>[5,5-5,8)</v>
          </cell>
          <cell r="L61">
            <v>15</v>
          </cell>
          <cell r="M61" t="str">
            <v>[2,8-3)</v>
          </cell>
          <cell r="Q61" t="str">
            <v>[0,9-1,1)</v>
          </cell>
          <cell r="R61">
            <v>7</v>
          </cell>
          <cell r="T61" t="str">
            <v>[5,5-5,8)</v>
          </cell>
        </row>
        <row r="62">
          <cell r="C62">
            <v>1</v>
          </cell>
          <cell r="D62" t="str">
            <v>[3-3,2)</v>
          </cell>
          <cell r="E62">
            <v>10</v>
          </cell>
          <cell r="F62" t="str">
            <v>[3,4-3,9)</v>
          </cell>
          <cell r="K62" t="str">
            <v>[5,8-6,1)</v>
          </cell>
          <cell r="L62">
            <v>9</v>
          </cell>
          <cell r="M62" t="str">
            <v>[3-3,2)</v>
          </cell>
          <cell r="Q62" t="str">
            <v>[1,1-1,3)</v>
          </cell>
          <cell r="R62">
            <v>8</v>
          </cell>
          <cell r="T62" t="str">
            <v>[5,8-6,1)</v>
          </cell>
        </row>
        <row r="63">
          <cell r="C63">
            <v>0</v>
          </cell>
          <cell r="D63" t="str">
            <v>[3,2-3,4)</v>
          </cell>
          <cell r="E63">
            <v>7</v>
          </cell>
          <cell r="F63" t="str">
            <v>[3,9-4,4)</v>
          </cell>
          <cell r="K63" t="str">
            <v>[6,1-6,4)</v>
          </cell>
          <cell r="L63">
            <v>9</v>
          </cell>
          <cell r="M63" t="str">
            <v>[3,2-3,4)</v>
          </cell>
          <cell r="Q63" t="str">
            <v>[1,3-1,5)</v>
          </cell>
          <cell r="R63">
            <v>20</v>
          </cell>
          <cell r="T63" t="str">
            <v>[6,1-6,4)</v>
          </cell>
        </row>
        <row r="64">
          <cell r="C64">
            <v>0</v>
          </cell>
          <cell r="D64" t="str">
            <v>[3,4,-3,6)</v>
          </cell>
          <cell r="E64">
            <v>15</v>
          </cell>
          <cell r="F64" t="str">
            <v>[4,4-4,9)</v>
          </cell>
          <cell r="K64" t="str">
            <v>[6,4-6,7)</v>
          </cell>
          <cell r="L64">
            <v>5</v>
          </cell>
          <cell r="M64" t="str">
            <v>[3,4,-3,6)</v>
          </cell>
          <cell r="Q64" t="str">
            <v>[1,5-1,7)</v>
          </cell>
          <cell r="R64">
            <v>13</v>
          </cell>
          <cell r="T64" t="str">
            <v>[6,4-6,7)</v>
          </cell>
        </row>
        <row r="65">
          <cell r="C65">
            <v>0</v>
          </cell>
          <cell r="D65" t="str">
            <v>[3,6-3,8)</v>
          </cell>
          <cell r="E65">
            <v>6</v>
          </cell>
          <cell r="F65" t="str">
            <v>[4,9-5,3)</v>
          </cell>
          <cell r="K65" t="str">
            <v>[6,7-6,9)</v>
          </cell>
          <cell r="L65">
            <v>4</v>
          </cell>
          <cell r="M65" t="str">
            <v>[3,6-3,8)</v>
          </cell>
          <cell r="Q65" t="str">
            <v>[1,7-1,9)</v>
          </cell>
          <cell r="R65">
            <v>2</v>
          </cell>
          <cell r="T65" t="str">
            <v>[6,7-6,9)</v>
          </cell>
        </row>
        <row r="66">
          <cell r="C66">
            <v>0</v>
          </cell>
          <cell r="D66" t="str">
            <v>[3,8-4)</v>
          </cell>
          <cell r="E66">
            <v>6</v>
          </cell>
          <cell r="F66" t="str">
            <v>[5,3-5,8)</v>
          </cell>
          <cell r="K66" t="str">
            <v>[6,9-7,2)</v>
          </cell>
          <cell r="L66">
            <v>2</v>
          </cell>
          <cell r="M66" t="str">
            <v>[3,8-4)</v>
          </cell>
          <cell r="Q66" t="str">
            <v>[1,9-2,1)</v>
          </cell>
          <cell r="R66">
            <v>0</v>
          </cell>
          <cell r="T66" t="str">
            <v>[6,9-7,2)</v>
          </cell>
        </row>
        <row r="67">
          <cell r="C67">
            <v>0</v>
          </cell>
          <cell r="D67" t="str">
            <v>[4-4,2)</v>
          </cell>
          <cell r="E67">
            <v>2</v>
          </cell>
          <cell r="F67" t="str">
            <v>[5,8-6,3)</v>
          </cell>
          <cell r="K67" t="str">
            <v>[7,2-7,5)</v>
          </cell>
          <cell r="L67">
            <v>0</v>
          </cell>
          <cell r="M67" t="str">
            <v>[4-4,2)</v>
          </cell>
          <cell r="Q67" t="str">
            <v>[2,1-2,3)</v>
          </cell>
          <cell r="R67">
            <v>0</v>
          </cell>
          <cell r="T67" t="str">
            <v>[7,2-7,5)</v>
          </cell>
        </row>
        <row r="68">
          <cell r="C68">
            <v>0</v>
          </cell>
          <cell r="D68" t="str">
            <v>[4,2-4,4)</v>
          </cell>
          <cell r="E68">
            <v>1</v>
          </cell>
          <cell r="F68" t="str">
            <v>[6,3-6,8)</v>
          </cell>
          <cell r="K68" t="str">
            <v>[7,5-7,8)</v>
          </cell>
          <cell r="L68">
            <v>0</v>
          </cell>
          <cell r="M68" t="str">
            <v>[4,2-4,4)</v>
          </cell>
          <cell r="Q68" t="str">
            <v>[2,3-2,5)</v>
          </cell>
          <cell r="R68">
            <v>0</v>
          </cell>
          <cell r="T68" t="str">
            <v>[7,5-7,8)</v>
          </cell>
        </row>
        <row r="69">
          <cell r="C69">
            <v>0</v>
          </cell>
          <cell r="D69" t="str">
            <v>[4,4-4,5)</v>
          </cell>
          <cell r="E69">
            <v>1</v>
          </cell>
          <cell r="F69" t="str">
            <v>[6,8-7,3)</v>
          </cell>
          <cell r="K69" t="str">
            <v>[7,8-8,1)</v>
          </cell>
          <cell r="L69">
            <v>0</v>
          </cell>
          <cell r="M69" t="str">
            <v>[4,4-4,5)</v>
          </cell>
          <cell r="Q69" t="str">
            <v>[2,5-2,6)</v>
          </cell>
          <cell r="R69">
            <v>0</v>
          </cell>
          <cell r="T69" t="str">
            <v>[7,8-8,1)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3"/>
      <sheetName val="Hoja2"/>
      <sheetName val="Sheet1"/>
    </sheetNames>
    <sheetDataSet>
      <sheetData sheetId="0"/>
      <sheetData sheetId="1">
        <row r="21">
          <cell r="B21" t="str">
            <v>Intervalo</v>
          </cell>
          <cell r="C21" t="str">
            <v>[4,3-4,6)</v>
          </cell>
          <cell r="D21" t="str">
            <v>[4,6-4,9)</v>
          </cell>
          <cell r="E21" t="str">
            <v>[4,9-5,2)</v>
          </cell>
          <cell r="F21" t="str">
            <v>[5,2-5,5)</v>
          </cell>
          <cell r="G21" t="str">
            <v>[5,5-5,8)</v>
          </cell>
          <cell r="H21" t="str">
            <v>[5,8-6,1)</v>
          </cell>
          <cell r="I21" t="str">
            <v>[6,1-6,4)</v>
          </cell>
          <cell r="J21" t="str">
            <v>[6,4-6,7)</v>
          </cell>
          <cell r="K21" t="str">
            <v>[6,7-6,9)</v>
          </cell>
          <cell r="L21" t="str">
            <v>[6,9-7,2)</v>
          </cell>
          <cell r="M21" t="str">
            <v>[7,2-7,5)</v>
          </cell>
          <cell r="N21" t="str">
            <v>[7,5-7,8)</v>
          </cell>
          <cell r="O21" t="str">
            <v>[7,8-8,1)</v>
          </cell>
        </row>
        <row r="22">
          <cell r="C22">
            <v>5</v>
          </cell>
          <cell r="D22">
            <v>11</v>
          </cell>
          <cell r="E22">
            <v>20</v>
          </cell>
          <cell r="F22">
            <v>9</v>
          </cell>
          <cell r="G22">
            <v>4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>
            <v>0</v>
          </cell>
          <cell r="D23">
            <v>0</v>
          </cell>
          <cell r="E23">
            <v>4</v>
          </cell>
          <cell r="F23">
            <v>2</v>
          </cell>
          <cell r="G23">
            <v>15</v>
          </cell>
          <cell r="H23">
            <v>9</v>
          </cell>
          <cell r="I23">
            <v>9</v>
          </cell>
          <cell r="J23">
            <v>5</v>
          </cell>
          <cell r="K23">
            <v>4</v>
          </cell>
          <cell r="L23">
            <v>2</v>
          </cell>
          <cell r="M23">
            <v>0</v>
          </cell>
          <cell r="N23">
            <v>0</v>
          </cell>
          <cell r="O23">
            <v>0</v>
          </cell>
        </row>
        <row r="24">
          <cell r="C24">
            <v>0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6</v>
          </cell>
          <cell r="I24">
            <v>10</v>
          </cell>
          <cell r="J24">
            <v>9</v>
          </cell>
          <cell r="K24">
            <v>7</v>
          </cell>
          <cell r="L24">
            <v>4</v>
          </cell>
          <cell r="M24">
            <v>5</v>
          </cell>
          <cell r="N24">
            <v>5</v>
          </cell>
          <cell r="O24">
            <v>1</v>
          </cell>
        </row>
        <row r="28">
          <cell r="B28" t="str">
            <v>Intervalo</v>
          </cell>
          <cell r="C28" t="str">
            <v>[2-2,2)</v>
          </cell>
          <cell r="D28" t="str">
            <v>[2,2-2,4)</v>
          </cell>
          <cell r="E28" t="str">
            <v>[2,4-2,6)</v>
          </cell>
          <cell r="F28" t="str">
            <v>[2,6-2,8)</v>
          </cell>
          <cell r="G28" t="str">
            <v>[2,8-3)</v>
          </cell>
          <cell r="H28" t="str">
            <v>[3-3,2)</v>
          </cell>
          <cell r="I28" t="str">
            <v>[3,2-3,4)</v>
          </cell>
          <cell r="J28" t="str">
            <v>[3,4,-3,6)</v>
          </cell>
          <cell r="K28" t="str">
            <v>[3,6-3,8)</v>
          </cell>
          <cell r="L28" t="str">
            <v>[3,8-4)</v>
          </cell>
          <cell r="M28" t="str">
            <v>[4-4,2)</v>
          </cell>
          <cell r="N28" t="str">
            <v>[4,2-4,4)</v>
          </cell>
          <cell r="O28" t="str">
            <v>[4,4-4,5)</v>
          </cell>
        </row>
        <row r="29">
          <cell r="C29">
            <v>0</v>
          </cell>
          <cell r="D29">
            <v>1</v>
          </cell>
          <cell r="E29">
            <v>0</v>
          </cell>
          <cell r="F29">
            <v>0</v>
          </cell>
          <cell r="G29">
            <v>1</v>
          </cell>
          <cell r="H29">
            <v>10</v>
          </cell>
          <cell r="I29">
            <v>7</v>
          </cell>
          <cell r="J29">
            <v>15</v>
          </cell>
          <cell r="K29">
            <v>6</v>
          </cell>
          <cell r="L29">
            <v>6</v>
          </cell>
          <cell r="M29">
            <v>2</v>
          </cell>
          <cell r="N29">
            <v>1</v>
          </cell>
          <cell r="O29">
            <v>1</v>
          </cell>
        </row>
        <row r="30">
          <cell r="C30">
            <v>1</v>
          </cell>
          <cell r="D30">
            <v>5</v>
          </cell>
          <cell r="E30">
            <v>7</v>
          </cell>
          <cell r="F30">
            <v>8</v>
          </cell>
          <cell r="G30">
            <v>13</v>
          </cell>
          <cell r="H30">
            <v>11</v>
          </cell>
          <cell r="I30">
            <v>4</v>
          </cell>
          <cell r="J30">
            <v>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>
            <v>0</v>
          </cell>
          <cell r="D31">
            <v>1</v>
          </cell>
          <cell r="E31">
            <v>4</v>
          </cell>
          <cell r="F31">
            <v>6</v>
          </cell>
          <cell r="G31">
            <v>10</v>
          </cell>
          <cell r="H31">
            <v>16</v>
          </cell>
          <cell r="I31">
            <v>8</v>
          </cell>
          <cell r="J31">
            <v>2</v>
          </cell>
          <cell r="K31">
            <v>1</v>
          </cell>
          <cell r="L31">
            <v>2</v>
          </cell>
          <cell r="M31">
            <v>0</v>
          </cell>
          <cell r="N31">
            <v>0</v>
          </cell>
          <cell r="O31">
            <v>0</v>
          </cell>
        </row>
        <row r="35">
          <cell r="B35" t="str">
            <v>Intervalo</v>
          </cell>
          <cell r="C35" t="str">
            <v>[1-1,5)</v>
          </cell>
          <cell r="D35" t="str">
            <v>[1,5-2)</v>
          </cell>
          <cell r="E35" t="str">
            <v>[2-2,4)</v>
          </cell>
          <cell r="F35" t="str">
            <v>[2,4-2,9)</v>
          </cell>
          <cell r="G35" t="str">
            <v>[2,9-3,4)</v>
          </cell>
          <cell r="H35" t="str">
            <v>[3,4-3,9)</v>
          </cell>
          <cell r="I35" t="str">
            <v>[3,9-4,4)</v>
          </cell>
          <cell r="J35" t="str">
            <v>[4,4-4,9)</v>
          </cell>
          <cell r="K35" t="str">
            <v>[4,9-5,3)</v>
          </cell>
          <cell r="L35" t="str">
            <v>[5,3-5,8)</v>
          </cell>
          <cell r="M35" t="str">
            <v>[5,8-6,3)</v>
          </cell>
          <cell r="N35" t="str">
            <v>[6,3-6,8)</v>
          </cell>
          <cell r="O35" t="str">
            <v>[6,8-7,3)</v>
          </cell>
        </row>
        <row r="36">
          <cell r="C36">
            <v>24</v>
          </cell>
          <cell r="D36">
            <v>26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3</v>
          </cell>
          <cell r="H37">
            <v>5</v>
          </cell>
          <cell r="I37">
            <v>17</v>
          </cell>
          <cell r="J37">
            <v>21</v>
          </cell>
          <cell r="K37">
            <v>4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</v>
          </cell>
          <cell r="K38">
            <v>15</v>
          </cell>
          <cell r="L38">
            <v>16</v>
          </cell>
          <cell r="M38">
            <v>10</v>
          </cell>
          <cell r="N38">
            <v>5</v>
          </cell>
          <cell r="O38">
            <v>1</v>
          </cell>
        </row>
        <row r="42">
          <cell r="B42" t="str">
            <v>Intervalo</v>
          </cell>
          <cell r="C42" t="str">
            <v>[0,1-0,3)</v>
          </cell>
          <cell r="D42" t="str">
            <v>[0,3-0,5)</v>
          </cell>
          <cell r="E42" t="str">
            <v>[0,5-0,7)</v>
          </cell>
          <cell r="F42" t="str">
            <v>[0,7-0.9)</v>
          </cell>
          <cell r="G42" t="str">
            <v>[0,9-1,1)</v>
          </cell>
          <cell r="H42" t="str">
            <v>[1,1-1,3)</v>
          </cell>
          <cell r="I42" t="str">
            <v>[1,3-1,5)</v>
          </cell>
          <cell r="J42" t="str">
            <v>[1,5-1,7)</v>
          </cell>
          <cell r="K42" t="str">
            <v>[1,7-1,9)</v>
          </cell>
          <cell r="L42" t="str">
            <v>[1,9-2,1)</v>
          </cell>
          <cell r="M42" t="str">
            <v>[2,1-2,3)</v>
          </cell>
          <cell r="N42" t="str">
            <v>[2,3-2,5)</v>
          </cell>
          <cell r="O42" t="str">
            <v>[2,5-2,6)</v>
          </cell>
        </row>
        <row r="43">
          <cell r="C43">
            <v>34</v>
          </cell>
          <cell r="D43">
            <v>14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7</v>
          </cell>
          <cell r="H44">
            <v>8</v>
          </cell>
          <cell r="I44">
            <v>20</v>
          </cell>
          <cell r="J44">
            <v>13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3</v>
          </cell>
          <cell r="K45">
            <v>12</v>
          </cell>
          <cell r="L45">
            <v>11</v>
          </cell>
          <cell r="M45">
            <v>9</v>
          </cell>
          <cell r="N45">
            <v>11</v>
          </cell>
          <cell r="O45">
            <v>3</v>
          </cell>
        </row>
      </sheetData>
      <sheetData sheetId="2">
        <row r="56">
          <cell r="C56" t="str">
            <v>Conteo</v>
          </cell>
          <cell r="E56" t="str">
            <v>Conteo</v>
          </cell>
          <cell r="G56" t="str">
            <v>Conteo</v>
          </cell>
          <cell r="I56" t="str">
            <v>Conteo</v>
          </cell>
          <cell r="L56" t="str">
            <v>Conteo</v>
          </cell>
          <cell r="N56" t="str">
            <v>Conteo</v>
          </cell>
          <cell r="P56" t="str">
            <v>Conteo</v>
          </cell>
          <cell r="R56" t="str">
            <v>Conteo</v>
          </cell>
          <cell r="U56" t="str">
            <v>Conteo</v>
          </cell>
          <cell r="W56" t="str">
            <v>Conteo</v>
          </cell>
          <cell r="Y56" t="str">
            <v>Conteo</v>
          </cell>
          <cell r="AA56" t="str">
            <v>Conteo</v>
          </cell>
        </row>
        <row r="57">
          <cell r="B57" t="str">
            <v>[4,3-4,6)</v>
          </cell>
          <cell r="C57">
            <v>5</v>
          </cell>
          <cell r="D57" t="str">
            <v>[2-2,2)</v>
          </cell>
          <cell r="E57">
            <v>0</v>
          </cell>
          <cell r="F57" t="str">
            <v>[1-1,5)</v>
          </cell>
          <cell r="G57">
            <v>24</v>
          </cell>
          <cell r="H57" t="str">
            <v>[0,1-0,3)</v>
          </cell>
          <cell r="I57">
            <v>34</v>
          </cell>
          <cell r="K57" t="str">
            <v>[4,3-4,6)</v>
          </cell>
          <cell r="L57">
            <v>0</v>
          </cell>
          <cell r="M57" t="str">
            <v>[2-2,2)</v>
          </cell>
          <cell r="N57">
            <v>1</v>
          </cell>
          <cell r="O57" t="str">
            <v>[1-1,5)</v>
          </cell>
          <cell r="P57">
            <v>0</v>
          </cell>
          <cell r="Q57" t="str">
            <v>[0,1-0,3)</v>
          </cell>
          <cell r="R57">
            <v>0</v>
          </cell>
          <cell r="T57" t="str">
            <v>[4,3-4,6)</v>
          </cell>
          <cell r="U57">
            <v>0</v>
          </cell>
          <cell r="V57" t="str">
            <v>[2-2,2)</v>
          </cell>
          <cell r="W57">
            <v>0</v>
          </cell>
          <cell r="X57" t="str">
            <v>[1-1,5)</v>
          </cell>
          <cell r="Y57">
            <v>0</v>
          </cell>
          <cell r="Z57" t="str">
            <v>[0,1-0,3)</v>
          </cell>
          <cell r="AA57">
            <v>0</v>
          </cell>
        </row>
        <row r="58">
          <cell r="B58" t="str">
            <v>[4,6-4,9)</v>
          </cell>
          <cell r="C58">
            <v>11</v>
          </cell>
          <cell r="D58" t="str">
            <v>[2,2-2,4)</v>
          </cell>
          <cell r="E58">
            <v>1</v>
          </cell>
          <cell r="F58" t="str">
            <v>[1,5-2)</v>
          </cell>
          <cell r="G58">
            <v>26</v>
          </cell>
          <cell r="H58" t="str">
            <v>[0,3-0,5)</v>
          </cell>
          <cell r="I58">
            <v>14</v>
          </cell>
          <cell r="K58" t="str">
            <v>[4,6-4,9)</v>
          </cell>
          <cell r="L58">
            <v>0</v>
          </cell>
          <cell r="M58" t="str">
            <v>[2,2-2,4)</v>
          </cell>
          <cell r="N58">
            <v>5</v>
          </cell>
          <cell r="O58" t="str">
            <v>[1,5-2)</v>
          </cell>
          <cell r="P58">
            <v>0</v>
          </cell>
          <cell r="Q58" t="str">
            <v>[0,3-0,5)</v>
          </cell>
          <cell r="R58">
            <v>0</v>
          </cell>
          <cell r="T58" t="str">
            <v>[4,6-4,9)</v>
          </cell>
          <cell r="U58">
            <v>0</v>
          </cell>
          <cell r="V58" t="str">
            <v>[2,2-2,4)</v>
          </cell>
          <cell r="W58">
            <v>1</v>
          </cell>
          <cell r="X58" t="str">
            <v>[1,5-2)</v>
          </cell>
          <cell r="Y58">
            <v>0</v>
          </cell>
          <cell r="Z58" t="str">
            <v>[0,3-0,5)</v>
          </cell>
          <cell r="AA58">
            <v>0</v>
          </cell>
        </row>
        <row r="59">
          <cell r="B59" t="str">
            <v>[4,9-5,2)</v>
          </cell>
          <cell r="C59">
            <v>20</v>
          </cell>
          <cell r="D59" t="str">
            <v>[2,4-2,6)</v>
          </cell>
          <cell r="E59">
            <v>0</v>
          </cell>
          <cell r="F59" t="str">
            <v>[2-2,4)</v>
          </cell>
          <cell r="G59">
            <v>0</v>
          </cell>
          <cell r="H59" t="str">
            <v>[0,5-0,7)</v>
          </cell>
          <cell r="I59">
            <v>2</v>
          </cell>
          <cell r="K59" t="str">
            <v>[4,9-5,2)</v>
          </cell>
          <cell r="L59">
            <v>4</v>
          </cell>
          <cell r="M59" t="str">
            <v>[2,4-2,6)</v>
          </cell>
          <cell r="N59">
            <v>7</v>
          </cell>
          <cell r="O59" t="str">
            <v>[2-2,4)</v>
          </cell>
          <cell r="P59">
            <v>0</v>
          </cell>
          <cell r="Q59" t="str">
            <v>[0,5-0,7)</v>
          </cell>
          <cell r="R59">
            <v>0</v>
          </cell>
          <cell r="T59" t="str">
            <v>[4,9-5,2)</v>
          </cell>
          <cell r="U59">
            <v>1</v>
          </cell>
          <cell r="V59" t="str">
            <v>[2,4-2,6)</v>
          </cell>
          <cell r="W59">
            <v>4</v>
          </cell>
          <cell r="X59" t="str">
            <v>[2-2,4)</v>
          </cell>
          <cell r="Y59">
            <v>0</v>
          </cell>
          <cell r="Z59" t="str">
            <v>[0,5-0,7)</v>
          </cell>
          <cell r="AA59">
            <v>0</v>
          </cell>
        </row>
        <row r="60">
          <cell r="B60" t="str">
            <v>[5,2-5,5)</v>
          </cell>
          <cell r="C60">
            <v>9</v>
          </cell>
          <cell r="D60" t="str">
            <v>[2,6-2,8)</v>
          </cell>
          <cell r="E60">
            <v>0</v>
          </cell>
          <cell r="F60" t="str">
            <v>[2,4-2,9)</v>
          </cell>
          <cell r="G60">
            <v>0</v>
          </cell>
          <cell r="H60" t="str">
            <v>[0,7-0.9)</v>
          </cell>
          <cell r="I60">
            <v>0</v>
          </cell>
          <cell r="K60" t="str">
            <v>[5,2-5,5)</v>
          </cell>
          <cell r="L60">
            <v>2</v>
          </cell>
          <cell r="M60" t="str">
            <v>[2,6-2,8)</v>
          </cell>
          <cell r="N60">
            <v>8</v>
          </cell>
          <cell r="O60" t="str">
            <v>[2,4-2,9)</v>
          </cell>
          <cell r="P60">
            <v>0</v>
          </cell>
          <cell r="Q60" t="str">
            <v>[0,7-0.9)</v>
          </cell>
          <cell r="R60">
            <v>0</v>
          </cell>
          <cell r="T60" t="str">
            <v>[5,2-5,5)</v>
          </cell>
          <cell r="U60">
            <v>0</v>
          </cell>
          <cell r="V60" t="str">
            <v>[2,6-2,8)</v>
          </cell>
          <cell r="W60">
            <v>6</v>
          </cell>
          <cell r="X60" t="str">
            <v>[2,4-2,9)</v>
          </cell>
          <cell r="Y60">
            <v>0</v>
          </cell>
          <cell r="Z60" t="str">
            <v>[0,7-0.9)</v>
          </cell>
          <cell r="AA60">
            <v>0</v>
          </cell>
        </row>
        <row r="61">
          <cell r="B61" t="str">
            <v>[5,5-5,8)</v>
          </cell>
          <cell r="C61">
            <v>4</v>
          </cell>
          <cell r="D61" t="str">
            <v>[2,8-3)</v>
          </cell>
          <cell r="E61">
            <v>1</v>
          </cell>
          <cell r="F61" t="str">
            <v>[2,9-3,4)</v>
          </cell>
          <cell r="G61">
            <v>0</v>
          </cell>
          <cell r="H61" t="str">
            <v>[0,9-1,1)</v>
          </cell>
          <cell r="I61">
            <v>0</v>
          </cell>
          <cell r="K61" t="str">
            <v>[5,5-5,8)</v>
          </cell>
          <cell r="L61">
            <v>15</v>
          </cell>
          <cell r="M61" t="str">
            <v>[2,8-3)</v>
          </cell>
          <cell r="N61">
            <v>13</v>
          </cell>
          <cell r="O61" t="str">
            <v>[2,9-3,4)</v>
          </cell>
          <cell r="P61">
            <v>3</v>
          </cell>
          <cell r="Q61" t="str">
            <v>[0,9-1,1)</v>
          </cell>
          <cell r="R61">
            <v>7</v>
          </cell>
          <cell r="T61" t="str">
            <v>[5,5-5,8)</v>
          </cell>
          <cell r="U61">
            <v>2</v>
          </cell>
          <cell r="V61" t="str">
            <v>[2,8-3)</v>
          </cell>
          <cell r="W61">
            <v>10</v>
          </cell>
          <cell r="X61" t="str">
            <v>[2,9-3,4)</v>
          </cell>
          <cell r="Y61">
            <v>0</v>
          </cell>
          <cell r="Z61" t="str">
            <v>[0,9-1,1)</v>
          </cell>
          <cell r="AA61">
            <v>0</v>
          </cell>
        </row>
        <row r="62">
          <cell r="B62" t="str">
            <v>[5,8-6,1)</v>
          </cell>
          <cell r="C62">
            <v>1</v>
          </cell>
          <cell r="D62" t="str">
            <v>[3-3,2)</v>
          </cell>
          <cell r="E62">
            <v>10</v>
          </cell>
          <cell r="F62" t="str">
            <v>[3,4-3,9)</v>
          </cell>
          <cell r="G62">
            <v>0</v>
          </cell>
          <cell r="H62" t="str">
            <v>[1,1-1,3)</v>
          </cell>
          <cell r="I62">
            <v>0</v>
          </cell>
          <cell r="K62" t="str">
            <v>[5,8-6,1)</v>
          </cell>
          <cell r="L62">
            <v>9</v>
          </cell>
          <cell r="M62" t="str">
            <v>[3-3,2)</v>
          </cell>
          <cell r="N62">
            <v>11</v>
          </cell>
          <cell r="O62" t="str">
            <v>[3,4-3,9)</v>
          </cell>
          <cell r="P62">
            <v>5</v>
          </cell>
          <cell r="Q62" t="str">
            <v>[1,1-1,3)</v>
          </cell>
          <cell r="R62">
            <v>8</v>
          </cell>
          <cell r="T62" t="str">
            <v>[5,8-6,1)</v>
          </cell>
          <cell r="U62">
            <v>6</v>
          </cell>
          <cell r="V62" t="str">
            <v>[3-3,2)</v>
          </cell>
          <cell r="W62">
            <v>16</v>
          </cell>
          <cell r="X62" t="str">
            <v>[3,4-3,9)</v>
          </cell>
          <cell r="Y62">
            <v>0</v>
          </cell>
          <cell r="Z62" t="str">
            <v>[1,1-1,3)</v>
          </cell>
          <cell r="AA62">
            <v>0</v>
          </cell>
        </row>
        <row r="63">
          <cell r="B63" t="str">
            <v>[6,1-6,4)</v>
          </cell>
          <cell r="C63">
            <v>0</v>
          </cell>
          <cell r="D63" t="str">
            <v>[3,2-3,4)</v>
          </cell>
          <cell r="E63">
            <v>7</v>
          </cell>
          <cell r="F63" t="str">
            <v>[3,9-4,4)</v>
          </cell>
          <cell r="G63">
            <v>0</v>
          </cell>
          <cell r="H63" t="str">
            <v>[1,3-1,5)</v>
          </cell>
          <cell r="I63">
            <v>0</v>
          </cell>
          <cell r="K63" t="str">
            <v>[6,1-6,4)</v>
          </cell>
          <cell r="L63">
            <v>9</v>
          </cell>
          <cell r="M63" t="str">
            <v>[3,2-3,4)</v>
          </cell>
          <cell r="N63">
            <v>4</v>
          </cell>
          <cell r="O63" t="str">
            <v>[3,9-4,4)</v>
          </cell>
          <cell r="P63">
            <v>17</v>
          </cell>
          <cell r="Q63" t="str">
            <v>[1,3-1,5)</v>
          </cell>
          <cell r="R63">
            <v>20</v>
          </cell>
          <cell r="T63" t="str">
            <v>[6,1-6,4)</v>
          </cell>
          <cell r="U63">
            <v>10</v>
          </cell>
          <cell r="V63" t="str">
            <v>[3,2-3,4)</v>
          </cell>
          <cell r="W63">
            <v>8</v>
          </cell>
          <cell r="X63" t="str">
            <v>[3,9-4,4)</v>
          </cell>
          <cell r="Y63">
            <v>0</v>
          </cell>
          <cell r="Z63" t="str">
            <v>[1,3-1,5)</v>
          </cell>
          <cell r="AA63">
            <v>1</v>
          </cell>
        </row>
        <row r="64">
          <cell r="B64" t="str">
            <v>[6,4-6,7)</v>
          </cell>
          <cell r="C64">
            <v>0</v>
          </cell>
          <cell r="D64" t="str">
            <v>[3,4,-3,6)</v>
          </cell>
          <cell r="E64">
            <v>15</v>
          </cell>
          <cell r="F64" t="str">
            <v>[4,4-4,9)</v>
          </cell>
          <cell r="G64">
            <v>0</v>
          </cell>
          <cell r="H64" t="str">
            <v>[1,5-1,7)</v>
          </cell>
          <cell r="I64">
            <v>0</v>
          </cell>
          <cell r="K64" t="str">
            <v>[6,4-6,7)</v>
          </cell>
          <cell r="L64">
            <v>5</v>
          </cell>
          <cell r="M64" t="str">
            <v>[3,4,-3,6)</v>
          </cell>
          <cell r="N64">
            <v>1</v>
          </cell>
          <cell r="O64" t="str">
            <v>[4,4-4,9)</v>
          </cell>
          <cell r="P64">
            <v>21</v>
          </cell>
          <cell r="Q64" t="str">
            <v>[1,5-1,7)</v>
          </cell>
          <cell r="R64">
            <v>13</v>
          </cell>
          <cell r="T64" t="str">
            <v>[6,4-6,7)</v>
          </cell>
          <cell r="U64">
            <v>9</v>
          </cell>
          <cell r="V64" t="str">
            <v>[3,4,-3,6)</v>
          </cell>
          <cell r="W64">
            <v>2</v>
          </cell>
          <cell r="X64" t="str">
            <v>[4,4-4,9)</v>
          </cell>
          <cell r="Y64">
            <v>3</v>
          </cell>
          <cell r="Z64" t="str">
            <v>[1,5-1,7)</v>
          </cell>
          <cell r="AA64">
            <v>3</v>
          </cell>
        </row>
        <row r="65">
          <cell r="B65" t="str">
            <v>[6,7-6,9)</v>
          </cell>
          <cell r="C65">
            <v>0</v>
          </cell>
          <cell r="D65" t="str">
            <v>[3,6-3,8)</v>
          </cell>
          <cell r="E65">
            <v>6</v>
          </cell>
          <cell r="F65" t="str">
            <v>[4,9-5,3)</v>
          </cell>
          <cell r="G65">
            <v>0</v>
          </cell>
          <cell r="H65" t="str">
            <v>[1,7-1,9)</v>
          </cell>
          <cell r="I65">
            <v>0</v>
          </cell>
          <cell r="K65" t="str">
            <v>[6,7-6,9)</v>
          </cell>
          <cell r="L65">
            <v>4</v>
          </cell>
          <cell r="M65" t="str">
            <v>[3,6-3,8)</v>
          </cell>
          <cell r="N65">
            <v>0</v>
          </cell>
          <cell r="O65" t="str">
            <v>[4,9-5,3)</v>
          </cell>
          <cell r="P65">
            <v>4</v>
          </cell>
          <cell r="Q65" t="str">
            <v>[1,7-1,9)</v>
          </cell>
          <cell r="R65">
            <v>2</v>
          </cell>
          <cell r="T65" t="str">
            <v>[6,7-6,9)</v>
          </cell>
          <cell r="U65">
            <v>7</v>
          </cell>
          <cell r="V65" t="str">
            <v>[3,6-3,8)</v>
          </cell>
          <cell r="W65">
            <v>1</v>
          </cell>
          <cell r="X65" t="str">
            <v>[4,9-5,3)</v>
          </cell>
          <cell r="Y65">
            <v>15</v>
          </cell>
          <cell r="Z65" t="str">
            <v>[1,7-1,9)</v>
          </cell>
          <cell r="AA65">
            <v>12</v>
          </cell>
        </row>
        <row r="66">
          <cell r="B66" t="str">
            <v>[6,9-7,2)</v>
          </cell>
          <cell r="C66">
            <v>0</v>
          </cell>
          <cell r="D66" t="str">
            <v>[3,8-4)</v>
          </cell>
          <cell r="E66">
            <v>6</v>
          </cell>
          <cell r="F66" t="str">
            <v>[5,3-5,8)</v>
          </cell>
          <cell r="G66">
            <v>0</v>
          </cell>
          <cell r="H66" t="str">
            <v>[1,9-2,1)</v>
          </cell>
          <cell r="I66">
            <v>0</v>
          </cell>
          <cell r="K66" t="str">
            <v>[6,9-7,2)</v>
          </cell>
          <cell r="L66">
            <v>2</v>
          </cell>
          <cell r="M66" t="str">
            <v>[3,8-4)</v>
          </cell>
          <cell r="N66">
            <v>0</v>
          </cell>
          <cell r="O66" t="str">
            <v>[5,3-5,8)</v>
          </cell>
          <cell r="P66">
            <v>0</v>
          </cell>
          <cell r="Q66" t="str">
            <v>[1,9-2,1)</v>
          </cell>
          <cell r="R66">
            <v>0</v>
          </cell>
          <cell r="T66" t="str">
            <v>[6,9-7,2)</v>
          </cell>
          <cell r="U66">
            <v>4</v>
          </cell>
          <cell r="V66" t="str">
            <v>[3,8-4)</v>
          </cell>
          <cell r="W66">
            <v>2</v>
          </cell>
          <cell r="X66" t="str">
            <v>[5,3-5,8)</v>
          </cell>
          <cell r="Y66">
            <v>16</v>
          </cell>
          <cell r="Z66" t="str">
            <v>[1,9-2,1)</v>
          </cell>
          <cell r="AA66">
            <v>11</v>
          </cell>
        </row>
        <row r="67">
          <cell r="B67" t="str">
            <v>[7,2-7,5)</v>
          </cell>
          <cell r="C67">
            <v>0</v>
          </cell>
          <cell r="D67" t="str">
            <v>[4-4,2)</v>
          </cell>
          <cell r="E67">
            <v>2</v>
          </cell>
          <cell r="F67" t="str">
            <v>[5,8-6,3)</v>
          </cell>
          <cell r="G67">
            <v>0</v>
          </cell>
          <cell r="H67" t="str">
            <v>[2,1-2,3)</v>
          </cell>
          <cell r="I67">
            <v>0</v>
          </cell>
          <cell r="K67" t="str">
            <v>[7,2-7,5)</v>
          </cell>
          <cell r="L67">
            <v>0</v>
          </cell>
          <cell r="M67" t="str">
            <v>[4-4,2)</v>
          </cell>
          <cell r="N67">
            <v>0</v>
          </cell>
          <cell r="O67" t="str">
            <v>[5,8-6,3)</v>
          </cell>
          <cell r="P67">
            <v>0</v>
          </cell>
          <cell r="Q67" t="str">
            <v>[2,1-2,3)</v>
          </cell>
          <cell r="R67">
            <v>0</v>
          </cell>
          <cell r="T67" t="str">
            <v>[7,2-7,5)</v>
          </cell>
          <cell r="U67">
            <v>5</v>
          </cell>
          <cell r="V67" t="str">
            <v>[4-4,2)</v>
          </cell>
          <cell r="W67">
            <v>0</v>
          </cell>
          <cell r="X67" t="str">
            <v>[5,8-6,3)</v>
          </cell>
          <cell r="Y67">
            <v>10</v>
          </cell>
          <cell r="Z67" t="str">
            <v>[2,1-2,3)</v>
          </cell>
          <cell r="AA67">
            <v>9</v>
          </cell>
        </row>
        <row r="68">
          <cell r="B68" t="str">
            <v>[7,5-7,8)</v>
          </cell>
          <cell r="C68">
            <v>0</v>
          </cell>
          <cell r="D68" t="str">
            <v>[4,2-4,4)</v>
          </cell>
          <cell r="E68">
            <v>1</v>
          </cell>
          <cell r="F68" t="str">
            <v>[6,3-6,8)</v>
          </cell>
          <cell r="G68">
            <v>0</v>
          </cell>
          <cell r="H68" t="str">
            <v>[2,3-2,5)</v>
          </cell>
          <cell r="I68">
            <v>0</v>
          </cell>
          <cell r="K68" t="str">
            <v>[7,5-7,8)</v>
          </cell>
          <cell r="L68">
            <v>0</v>
          </cell>
          <cell r="M68" t="str">
            <v>[4,2-4,4)</v>
          </cell>
          <cell r="N68">
            <v>0</v>
          </cell>
          <cell r="O68" t="str">
            <v>[6,3-6,8)</v>
          </cell>
          <cell r="P68">
            <v>0</v>
          </cell>
          <cell r="Q68" t="str">
            <v>[2,3-2,5)</v>
          </cell>
          <cell r="R68">
            <v>0</v>
          </cell>
          <cell r="T68" t="str">
            <v>[7,5-7,8)</v>
          </cell>
          <cell r="U68">
            <v>5</v>
          </cell>
          <cell r="V68" t="str">
            <v>[4,2-4,4)</v>
          </cell>
          <cell r="W68">
            <v>0</v>
          </cell>
          <cell r="X68" t="str">
            <v>[6,3-6,8)</v>
          </cell>
          <cell r="Y68">
            <v>5</v>
          </cell>
          <cell r="Z68" t="str">
            <v>[2,3-2,5)</v>
          </cell>
          <cell r="AA68">
            <v>11</v>
          </cell>
        </row>
        <row r="69">
          <cell r="B69" t="str">
            <v>[7,8-8,1)</v>
          </cell>
          <cell r="C69">
            <v>0</v>
          </cell>
          <cell r="D69" t="str">
            <v>[4,4-4,5)</v>
          </cell>
          <cell r="E69">
            <v>1</v>
          </cell>
          <cell r="F69" t="str">
            <v>[6,8-7,3)</v>
          </cell>
          <cell r="G69">
            <v>0</v>
          </cell>
          <cell r="H69" t="str">
            <v>[2,5-2,6)</v>
          </cell>
          <cell r="I69">
            <v>0</v>
          </cell>
          <cell r="K69" t="str">
            <v>[7,8-8,1)</v>
          </cell>
          <cell r="L69">
            <v>0</v>
          </cell>
          <cell r="M69" t="str">
            <v>[4,4-4,5)</v>
          </cell>
          <cell r="N69">
            <v>0</v>
          </cell>
          <cell r="O69" t="str">
            <v>[6,8-7,3)</v>
          </cell>
          <cell r="P69">
            <v>0</v>
          </cell>
          <cell r="Q69" t="str">
            <v>[2,5-2,6)</v>
          </cell>
          <cell r="R69">
            <v>0</v>
          </cell>
          <cell r="T69" t="str">
            <v>[7,8-8,1)</v>
          </cell>
          <cell r="U69">
            <v>1</v>
          </cell>
          <cell r="V69" t="str">
            <v>[4,4-4,5)</v>
          </cell>
          <cell r="W69">
            <v>0</v>
          </cell>
          <cell r="X69" t="str">
            <v>[6,8-7,3)</v>
          </cell>
          <cell r="Y69">
            <v>1</v>
          </cell>
          <cell r="Z69" t="str">
            <v>[2,5-2,6)</v>
          </cell>
          <cell r="AA69">
            <v>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53"/>
  <sheetViews>
    <sheetView topLeftCell="A118" zoomScaleNormal="100" workbookViewId="0">
      <selection activeCell="J143" sqref="J143"/>
    </sheetView>
  </sheetViews>
  <sheetFormatPr defaultRowHeight="15" x14ac:dyDescent="0.25"/>
  <cols>
    <col min="2" max="7" width="12.140625" customWidth="1"/>
    <col min="9" max="9" width="18.140625" customWidth="1"/>
    <col min="10" max="13" width="12.7109375" customWidth="1"/>
  </cols>
  <sheetData>
    <row r="3" spans="2:7" x14ac:dyDescent="0.25"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7" x14ac:dyDescent="0.25">
      <c r="B4" s="2">
        <v>1</v>
      </c>
      <c r="C4" s="2">
        <v>5.0999999999999996</v>
      </c>
      <c r="D4" s="2">
        <v>3.5</v>
      </c>
      <c r="E4" s="2">
        <v>1.4</v>
      </c>
      <c r="F4" s="2">
        <v>0.2</v>
      </c>
      <c r="G4" s="2" t="s">
        <v>6</v>
      </c>
    </row>
    <row r="5" spans="2:7" x14ac:dyDescent="0.25">
      <c r="B5" s="3">
        <v>2</v>
      </c>
      <c r="C5" s="3">
        <v>4.9000000000000004</v>
      </c>
      <c r="D5" s="3">
        <v>3</v>
      </c>
      <c r="E5" s="3">
        <v>1.4</v>
      </c>
      <c r="F5" s="3">
        <v>0.2</v>
      </c>
      <c r="G5" s="3" t="s">
        <v>6</v>
      </c>
    </row>
    <row r="6" spans="2:7" x14ac:dyDescent="0.25">
      <c r="B6" s="3">
        <v>3</v>
      </c>
      <c r="C6" s="3">
        <v>4.7</v>
      </c>
      <c r="D6" s="3">
        <v>3.2</v>
      </c>
      <c r="E6" s="3">
        <v>1.3</v>
      </c>
      <c r="F6" s="3">
        <v>0.2</v>
      </c>
      <c r="G6" s="3" t="s">
        <v>6</v>
      </c>
    </row>
    <row r="7" spans="2:7" x14ac:dyDescent="0.25">
      <c r="B7" s="3">
        <v>4</v>
      </c>
      <c r="C7" s="3">
        <v>4.5999999999999996</v>
      </c>
      <c r="D7" s="3">
        <v>3.1</v>
      </c>
      <c r="E7" s="3">
        <v>1.5</v>
      </c>
      <c r="F7" s="3">
        <v>0.2</v>
      </c>
      <c r="G7" s="3" t="s">
        <v>6</v>
      </c>
    </row>
    <row r="8" spans="2:7" x14ac:dyDescent="0.25">
      <c r="B8" s="3">
        <v>5</v>
      </c>
      <c r="C8" s="3">
        <v>5</v>
      </c>
      <c r="D8" s="3">
        <v>3.6</v>
      </c>
      <c r="E8" s="3">
        <v>1.4</v>
      </c>
      <c r="F8" s="3">
        <v>0.2</v>
      </c>
      <c r="G8" s="3" t="s">
        <v>6</v>
      </c>
    </row>
    <row r="9" spans="2:7" x14ac:dyDescent="0.25">
      <c r="B9" s="3">
        <v>6</v>
      </c>
      <c r="C9" s="3">
        <v>5.4</v>
      </c>
      <c r="D9" s="3">
        <v>3.9</v>
      </c>
      <c r="E9" s="3">
        <v>1.7</v>
      </c>
      <c r="F9" s="3">
        <v>0.4</v>
      </c>
      <c r="G9" s="3" t="s">
        <v>6</v>
      </c>
    </row>
    <row r="10" spans="2:7" x14ac:dyDescent="0.25">
      <c r="B10" s="3">
        <v>7</v>
      </c>
      <c r="C10" s="3">
        <v>4.5999999999999996</v>
      </c>
      <c r="D10" s="3">
        <v>3.4</v>
      </c>
      <c r="E10" s="3">
        <v>1.4</v>
      </c>
      <c r="F10" s="3">
        <v>0.3</v>
      </c>
      <c r="G10" s="3" t="s">
        <v>6</v>
      </c>
    </row>
    <row r="11" spans="2:7" x14ac:dyDescent="0.25">
      <c r="B11" s="3">
        <v>8</v>
      </c>
      <c r="C11" s="3">
        <v>5</v>
      </c>
      <c r="D11" s="3">
        <v>3.4</v>
      </c>
      <c r="E11" s="3">
        <v>1.5</v>
      </c>
      <c r="F11" s="3">
        <v>0.2</v>
      </c>
      <c r="G11" s="3" t="s">
        <v>6</v>
      </c>
    </row>
    <row r="12" spans="2:7" x14ac:dyDescent="0.25">
      <c r="B12" s="3">
        <v>9</v>
      </c>
      <c r="C12" s="3">
        <v>4.4000000000000004</v>
      </c>
      <c r="D12" s="3">
        <v>2.9</v>
      </c>
      <c r="E12" s="3">
        <v>1.4</v>
      </c>
      <c r="F12" s="3">
        <v>0.2</v>
      </c>
      <c r="G12" s="3" t="s">
        <v>6</v>
      </c>
    </row>
    <row r="13" spans="2:7" x14ac:dyDescent="0.25">
      <c r="B13" s="3">
        <v>10</v>
      </c>
      <c r="C13" s="3">
        <v>4.9000000000000004</v>
      </c>
      <c r="D13" s="3">
        <v>3.1</v>
      </c>
      <c r="E13" s="3">
        <v>1.5</v>
      </c>
      <c r="F13" s="3">
        <v>0.1</v>
      </c>
      <c r="G13" s="3" t="s">
        <v>6</v>
      </c>
    </row>
    <row r="14" spans="2:7" x14ac:dyDescent="0.25">
      <c r="B14" s="3">
        <v>11</v>
      </c>
      <c r="C14" s="3">
        <v>5.4</v>
      </c>
      <c r="D14" s="3">
        <v>3.7</v>
      </c>
      <c r="E14" s="3">
        <v>1.5</v>
      </c>
      <c r="F14" s="3">
        <v>0.2</v>
      </c>
      <c r="G14" s="3" t="s">
        <v>6</v>
      </c>
    </row>
    <row r="15" spans="2:7" x14ac:dyDescent="0.25">
      <c r="B15" s="3">
        <v>12</v>
      </c>
      <c r="C15" s="3">
        <v>4.8</v>
      </c>
      <c r="D15" s="3">
        <v>3.4</v>
      </c>
      <c r="E15" s="3">
        <v>1.6</v>
      </c>
      <c r="F15" s="3">
        <v>0.2</v>
      </c>
      <c r="G15" s="3" t="s">
        <v>6</v>
      </c>
    </row>
    <row r="16" spans="2:7" x14ac:dyDescent="0.25">
      <c r="B16" s="3">
        <v>13</v>
      </c>
      <c r="C16" s="3">
        <v>4.8</v>
      </c>
      <c r="D16" s="3">
        <v>3</v>
      </c>
      <c r="E16" s="3">
        <v>1.4</v>
      </c>
      <c r="F16" s="3">
        <v>0.1</v>
      </c>
      <c r="G16" s="3" t="s">
        <v>6</v>
      </c>
    </row>
    <row r="17" spans="2:7" x14ac:dyDescent="0.25">
      <c r="B17" s="3">
        <v>14</v>
      </c>
      <c r="C17" s="3">
        <v>4.3</v>
      </c>
      <c r="D17" s="3">
        <v>3</v>
      </c>
      <c r="E17" s="3">
        <v>1.1000000000000001</v>
      </c>
      <c r="F17" s="3">
        <v>0.1</v>
      </c>
      <c r="G17" s="3" t="s">
        <v>6</v>
      </c>
    </row>
    <row r="18" spans="2:7" x14ac:dyDescent="0.25">
      <c r="B18" s="3">
        <v>15</v>
      </c>
      <c r="C18" s="3">
        <v>5.8</v>
      </c>
      <c r="D18" s="3">
        <v>4</v>
      </c>
      <c r="E18" s="3">
        <v>1.2</v>
      </c>
      <c r="F18" s="3">
        <v>0.2</v>
      </c>
      <c r="G18" s="3" t="s">
        <v>6</v>
      </c>
    </row>
    <row r="19" spans="2:7" x14ac:dyDescent="0.25">
      <c r="B19" s="3">
        <v>16</v>
      </c>
      <c r="C19" s="3">
        <v>5.7</v>
      </c>
      <c r="D19" s="3">
        <v>4.4000000000000004</v>
      </c>
      <c r="E19" s="3">
        <v>1.5</v>
      </c>
      <c r="F19" s="3">
        <v>0.4</v>
      </c>
      <c r="G19" s="3" t="s">
        <v>6</v>
      </c>
    </row>
    <row r="20" spans="2:7" x14ac:dyDescent="0.25">
      <c r="B20" s="3">
        <v>17</v>
      </c>
      <c r="C20" s="3">
        <v>5.4</v>
      </c>
      <c r="D20" s="3">
        <v>3.9</v>
      </c>
      <c r="E20" s="3">
        <v>1.3</v>
      </c>
      <c r="F20" s="3">
        <v>0.4</v>
      </c>
      <c r="G20" s="3" t="s">
        <v>6</v>
      </c>
    </row>
    <row r="21" spans="2:7" x14ac:dyDescent="0.25">
      <c r="B21" s="3">
        <v>18</v>
      </c>
      <c r="C21" s="3">
        <v>5.0999999999999996</v>
      </c>
      <c r="D21" s="3">
        <v>3.5</v>
      </c>
      <c r="E21" s="3">
        <v>1.4</v>
      </c>
      <c r="F21" s="3">
        <v>0.3</v>
      </c>
      <c r="G21" s="3" t="s">
        <v>6</v>
      </c>
    </row>
    <row r="22" spans="2:7" x14ac:dyDescent="0.25">
      <c r="B22" s="3">
        <v>19</v>
      </c>
      <c r="C22" s="3">
        <v>5.7</v>
      </c>
      <c r="D22" s="3">
        <v>3.8</v>
      </c>
      <c r="E22" s="3">
        <v>1.7</v>
      </c>
      <c r="F22" s="3">
        <v>0.3</v>
      </c>
      <c r="G22" s="3" t="s">
        <v>6</v>
      </c>
    </row>
    <row r="23" spans="2:7" x14ac:dyDescent="0.25">
      <c r="B23" s="3">
        <v>20</v>
      </c>
      <c r="C23" s="3">
        <v>5.0999999999999996</v>
      </c>
      <c r="D23" s="3">
        <v>3.8</v>
      </c>
      <c r="E23" s="3">
        <v>1.5</v>
      </c>
      <c r="F23" s="3">
        <v>0.3</v>
      </c>
      <c r="G23" s="3" t="s">
        <v>6</v>
      </c>
    </row>
    <row r="24" spans="2:7" x14ac:dyDescent="0.25">
      <c r="B24" s="3">
        <v>21</v>
      </c>
      <c r="C24" s="3">
        <v>5.4</v>
      </c>
      <c r="D24" s="3">
        <v>3.4</v>
      </c>
      <c r="E24" s="3">
        <v>1.7</v>
      </c>
      <c r="F24" s="3">
        <v>0.2</v>
      </c>
      <c r="G24" s="3" t="s">
        <v>6</v>
      </c>
    </row>
    <row r="25" spans="2:7" x14ac:dyDescent="0.25">
      <c r="B25" s="3">
        <v>22</v>
      </c>
      <c r="C25" s="3">
        <v>5.0999999999999996</v>
      </c>
      <c r="D25" s="3">
        <v>3.7</v>
      </c>
      <c r="E25" s="3">
        <v>1.5</v>
      </c>
      <c r="F25" s="3">
        <v>0.4</v>
      </c>
      <c r="G25" s="3" t="s">
        <v>6</v>
      </c>
    </row>
    <row r="26" spans="2:7" x14ac:dyDescent="0.25">
      <c r="B26" s="3">
        <v>23</v>
      </c>
      <c r="C26" s="3">
        <v>4.5999999999999996</v>
      </c>
      <c r="D26" s="3">
        <v>3.6</v>
      </c>
      <c r="E26" s="3">
        <v>1</v>
      </c>
      <c r="F26" s="3">
        <v>0.2</v>
      </c>
      <c r="G26" s="3" t="s">
        <v>6</v>
      </c>
    </row>
    <row r="27" spans="2:7" x14ac:dyDescent="0.25">
      <c r="B27" s="3">
        <v>24</v>
      </c>
      <c r="C27" s="3">
        <v>5.0999999999999996</v>
      </c>
      <c r="D27" s="3">
        <v>3.3</v>
      </c>
      <c r="E27" s="3">
        <v>1.7</v>
      </c>
      <c r="F27" s="3">
        <v>0.5</v>
      </c>
      <c r="G27" s="3" t="s">
        <v>6</v>
      </c>
    </row>
    <row r="28" spans="2:7" x14ac:dyDescent="0.25">
      <c r="B28" s="3">
        <v>25</v>
      </c>
      <c r="C28" s="3">
        <v>4.8</v>
      </c>
      <c r="D28" s="3">
        <v>3.4</v>
      </c>
      <c r="E28" s="3">
        <v>1.9</v>
      </c>
      <c r="F28" s="3">
        <v>0.2</v>
      </c>
      <c r="G28" s="3" t="s">
        <v>6</v>
      </c>
    </row>
    <row r="29" spans="2:7" x14ac:dyDescent="0.25">
      <c r="B29" s="3">
        <v>26</v>
      </c>
      <c r="C29" s="3">
        <v>5</v>
      </c>
      <c r="D29" s="3">
        <v>3</v>
      </c>
      <c r="E29" s="3">
        <v>1.6</v>
      </c>
      <c r="F29" s="3">
        <v>0.2</v>
      </c>
      <c r="G29" s="3" t="s">
        <v>6</v>
      </c>
    </row>
    <row r="30" spans="2:7" x14ac:dyDescent="0.25">
      <c r="B30" s="3">
        <v>27</v>
      </c>
      <c r="C30" s="3">
        <v>5</v>
      </c>
      <c r="D30" s="3">
        <v>3.4</v>
      </c>
      <c r="E30" s="3">
        <v>1.6</v>
      </c>
      <c r="F30" s="3">
        <v>0.4</v>
      </c>
      <c r="G30" s="3" t="s">
        <v>6</v>
      </c>
    </row>
    <row r="31" spans="2:7" x14ac:dyDescent="0.25">
      <c r="B31" s="3">
        <v>28</v>
      </c>
      <c r="C31" s="3">
        <v>5.2</v>
      </c>
      <c r="D31" s="3">
        <v>3.5</v>
      </c>
      <c r="E31" s="3">
        <v>1.5</v>
      </c>
      <c r="F31" s="3">
        <v>0.2</v>
      </c>
      <c r="G31" s="3" t="s">
        <v>6</v>
      </c>
    </row>
    <row r="32" spans="2:7" x14ac:dyDescent="0.25">
      <c r="B32" s="3">
        <v>29</v>
      </c>
      <c r="C32" s="3">
        <v>5.2</v>
      </c>
      <c r="D32" s="3">
        <v>3.4</v>
      </c>
      <c r="E32" s="3">
        <v>1.4</v>
      </c>
      <c r="F32" s="3">
        <v>0.2</v>
      </c>
      <c r="G32" s="3" t="s">
        <v>6</v>
      </c>
    </row>
    <row r="33" spans="2:7" x14ac:dyDescent="0.25">
      <c r="B33" s="3">
        <v>30</v>
      </c>
      <c r="C33" s="3">
        <v>4.7</v>
      </c>
      <c r="D33" s="3">
        <v>3.2</v>
      </c>
      <c r="E33" s="3">
        <v>1.6</v>
      </c>
      <c r="F33" s="3">
        <v>0.2</v>
      </c>
      <c r="G33" s="3" t="s">
        <v>6</v>
      </c>
    </row>
    <row r="34" spans="2:7" x14ac:dyDescent="0.25">
      <c r="B34" s="3">
        <v>31</v>
      </c>
      <c r="C34" s="3">
        <v>4.8</v>
      </c>
      <c r="D34" s="3">
        <v>3.1</v>
      </c>
      <c r="E34" s="3">
        <v>1.6</v>
      </c>
      <c r="F34" s="3">
        <v>0.2</v>
      </c>
      <c r="G34" s="3" t="s">
        <v>6</v>
      </c>
    </row>
    <row r="35" spans="2:7" x14ac:dyDescent="0.25">
      <c r="B35" s="3">
        <v>32</v>
      </c>
      <c r="C35" s="3">
        <v>5.4</v>
      </c>
      <c r="D35" s="3">
        <v>3.4</v>
      </c>
      <c r="E35" s="3">
        <v>1.5</v>
      </c>
      <c r="F35" s="3">
        <v>0.4</v>
      </c>
      <c r="G35" s="3" t="s">
        <v>6</v>
      </c>
    </row>
    <row r="36" spans="2:7" x14ac:dyDescent="0.25">
      <c r="B36" s="3">
        <v>33</v>
      </c>
      <c r="C36" s="3">
        <v>5.2</v>
      </c>
      <c r="D36" s="3">
        <v>4.0999999999999996</v>
      </c>
      <c r="E36" s="3">
        <v>1.5</v>
      </c>
      <c r="F36" s="3">
        <v>0.1</v>
      </c>
      <c r="G36" s="3" t="s">
        <v>6</v>
      </c>
    </row>
    <row r="37" spans="2:7" x14ac:dyDescent="0.25">
      <c r="B37" s="3">
        <v>34</v>
      </c>
      <c r="C37" s="3">
        <v>5.5</v>
      </c>
      <c r="D37" s="3">
        <v>4.2</v>
      </c>
      <c r="E37" s="3">
        <v>1.4</v>
      </c>
      <c r="F37" s="3">
        <v>0.2</v>
      </c>
      <c r="G37" s="3" t="s">
        <v>6</v>
      </c>
    </row>
    <row r="38" spans="2:7" x14ac:dyDescent="0.25">
      <c r="B38" s="3">
        <v>35</v>
      </c>
      <c r="C38" s="3">
        <v>4.9000000000000004</v>
      </c>
      <c r="D38" s="3">
        <v>3.1</v>
      </c>
      <c r="E38" s="3">
        <v>1.5</v>
      </c>
      <c r="F38" s="3">
        <v>0.2</v>
      </c>
      <c r="G38" s="3" t="s">
        <v>6</v>
      </c>
    </row>
    <row r="39" spans="2:7" x14ac:dyDescent="0.25">
      <c r="B39" s="3">
        <v>36</v>
      </c>
      <c r="C39" s="3">
        <v>5</v>
      </c>
      <c r="D39" s="3">
        <v>3.2</v>
      </c>
      <c r="E39" s="3">
        <v>1.2</v>
      </c>
      <c r="F39" s="3">
        <v>0.2</v>
      </c>
      <c r="G39" s="3" t="s">
        <v>6</v>
      </c>
    </row>
    <row r="40" spans="2:7" x14ac:dyDescent="0.25">
      <c r="B40" s="3">
        <v>37</v>
      </c>
      <c r="C40" s="3">
        <v>5.5</v>
      </c>
      <c r="D40" s="3">
        <v>3.5</v>
      </c>
      <c r="E40" s="3">
        <v>1.3</v>
      </c>
      <c r="F40" s="3">
        <v>0.2</v>
      </c>
      <c r="G40" s="3" t="s">
        <v>6</v>
      </c>
    </row>
    <row r="41" spans="2:7" x14ac:dyDescent="0.25">
      <c r="B41" s="3">
        <v>38</v>
      </c>
      <c r="C41" s="3">
        <v>4.9000000000000004</v>
      </c>
      <c r="D41" s="3">
        <v>3.6</v>
      </c>
      <c r="E41" s="3">
        <v>1.4</v>
      </c>
      <c r="F41" s="3">
        <v>0.1</v>
      </c>
      <c r="G41" s="3" t="s">
        <v>6</v>
      </c>
    </row>
    <row r="42" spans="2:7" x14ac:dyDescent="0.25">
      <c r="B42" s="3">
        <v>39</v>
      </c>
      <c r="C42" s="3">
        <v>4.4000000000000004</v>
      </c>
      <c r="D42" s="3">
        <v>3</v>
      </c>
      <c r="E42" s="3">
        <v>1.3</v>
      </c>
      <c r="F42" s="3">
        <v>0.2</v>
      </c>
      <c r="G42" s="3" t="s">
        <v>6</v>
      </c>
    </row>
    <row r="43" spans="2:7" x14ac:dyDescent="0.25">
      <c r="B43" s="3">
        <v>40</v>
      </c>
      <c r="C43" s="3">
        <v>5.0999999999999996</v>
      </c>
      <c r="D43" s="3">
        <v>3.4</v>
      </c>
      <c r="E43" s="3">
        <v>1.5</v>
      </c>
      <c r="F43" s="3">
        <v>0.2</v>
      </c>
      <c r="G43" s="3" t="s">
        <v>6</v>
      </c>
    </row>
    <row r="44" spans="2:7" x14ac:dyDescent="0.25">
      <c r="B44" s="3">
        <v>41</v>
      </c>
      <c r="C44" s="3">
        <v>5</v>
      </c>
      <c r="D44" s="3">
        <v>3.5</v>
      </c>
      <c r="E44" s="3">
        <v>1.3</v>
      </c>
      <c r="F44" s="3">
        <v>0.3</v>
      </c>
      <c r="G44" s="3" t="s">
        <v>6</v>
      </c>
    </row>
    <row r="45" spans="2:7" x14ac:dyDescent="0.25">
      <c r="B45" s="3">
        <v>42</v>
      </c>
      <c r="C45" s="3">
        <v>4.5</v>
      </c>
      <c r="D45" s="3">
        <v>2.2999999999999998</v>
      </c>
      <c r="E45" s="3">
        <v>1.3</v>
      </c>
      <c r="F45" s="3">
        <v>0.3</v>
      </c>
      <c r="G45" s="3" t="s">
        <v>6</v>
      </c>
    </row>
    <row r="46" spans="2:7" x14ac:dyDescent="0.25">
      <c r="B46" s="3">
        <v>43</v>
      </c>
      <c r="C46" s="3">
        <v>4.4000000000000004</v>
      </c>
      <c r="D46" s="3">
        <v>3.2</v>
      </c>
      <c r="E46" s="3">
        <v>1.3</v>
      </c>
      <c r="F46" s="3">
        <v>0.2</v>
      </c>
      <c r="G46" s="3" t="s">
        <v>6</v>
      </c>
    </row>
    <row r="47" spans="2:7" x14ac:dyDescent="0.25">
      <c r="B47" s="3">
        <v>44</v>
      </c>
      <c r="C47" s="3">
        <v>5</v>
      </c>
      <c r="D47" s="3">
        <v>3.5</v>
      </c>
      <c r="E47" s="3">
        <v>1.6</v>
      </c>
      <c r="F47" s="3">
        <v>0.6</v>
      </c>
      <c r="G47" s="3" t="s">
        <v>6</v>
      </c>
    </row>
    <row r="48" spans="2:7" x14ac:dyDescent="0.25">
      <c r="B48" s="3">
        <v>45</v>
      </c>
      <c r="C48" s="3">
        <v>5.0999999999999996</v>
      </c>
      <c r="D48" s="3">
        <v>3.8</v>
      </c>
      <c r="E48" s="3">
        <v>1.9</v>
      </c>
      <c r="F48" s="3">
        <v>0.4</v>
      </c>
      <c r="G48" s="3" t="s">
        <v>6</v>
      </c>
    </row>
    <row r="49" spans="2:7" x14ac:dyDescent="0.25">
      <c r="B49" s="3">
        <v>46</v>
      </c>
      <c r="C49" s="3">
        <v>4.8</v>
      </c>
      <c r="D49" s="3">
        <v>3</v>
      </c>
      <c r="E49" s="3">
        <v>1.4</v>
      </c>
      <c r="F49" s="3">
        <v>0.3</v>
      </c>
      <c r="G49" s="3" t="s">
        <v>6</v>
      </c>
    </row>
    <row r="50" spans="2:7" x14ac:dyDescent="0.25">
      <c r="B50" s="3">
        <v>47</v>
      </c>
      <c r="C50" s="3">
        <v>5.0999999999999996</v>
      </c>
      <c r="D50" s="3">
        <v>3.8</v>
      </c>
      <c r="E50" s="3">
        <v>1.6</v>
      </c>
      <c r="F50" s="3">
        <v>0.2</v>
      </c>
      <c r="G50" s="3" t="s">
        <v>6</v>
      </c>
    </row>
    <row r="51" spans="2:7" x14ac:dyDescent="0.25">
      <c r="B51" s="3">
        <v>48</v>
      </c>
      <c r="C51" s="3">
        <v>4.5999999999999996</v>
      </c>
      <c r="D51" s="3">
        <v>3.2</v>
      </c>
      <c r="E51" s="3">
        <v>1.4</v>
      </c>
      <c r="F51" s="3">
        <v>0.2</v>
      </c>
      <c r="G51" s="3" t="s">
        <v>6</v>
      </c>
    </row>
    <row r="52" spans="2:7" x14ac:dyDescent="0.25">
      <c r="B52" s="3">
        <v>49</v>
      </c>
      <c r="C52" s="3">
        <v>5.3</v>
      </c>
      <c r="D52" s="3">
        <v>3.7</v>
      </c>
      <c r="E52" s="3">
        <v>1.5</v>
      </c>
      <c r="F52" s="3">
        <v>0.2</v>
      </c>
      <c r="G52" s="3" t="s">
        <v>6</v>
      </c>
    </row>
    <row r="53" spans="2:7" x14ac:dyDescent="0.25">
      <c r="B53" s="3">
        <v>50</v>
      </c>
      <c r="C53" s="3">
        <v>5</v>
      </c>
      <c r="D53" s="3">
        <v>3.3</v>
      </c>
      <c r="E53" s="3">
        <v>1.4</v>
      </c>
      <c r="F53" s="3">
        <v>0.2</v>
      </c>
      <c r="G53" s="3" t="s">
        <v>6</v>
      </c>
    </row>
    <row r="54" spans="2:7" x14ac:dyDescent="0.25">
      <c r="B54" s="3">
        <v>51</v>
      </c>
      <c r="C54" s="3">
        <v>7</v>
      </c>
      <c r="D54" s="3">
        <v>3.2</v>
      </c>
      <c r="E54" s="3">
        <v>4.7</v>
      </c>
      <c r="F54" s="3">
        <v>1.4</v>
      </c>
      <c r="G54" s="3" t="s">
        <v>12</v>
      </c>
    </row>
    <row r="55" spans="2:7" x14ac:dyDescent="0.25">
      <c r="B55" s="3">
        <v>52</v>
      </c>
      <c r="C55" s="3">
        <v>6.4</v>
      </c>
      <c r="D55" s="3">
        <v>3.2</v>
      </c>
      <c r="E55" s="3">
        <v>4.5</v>
      </c>
      <c r="F55" s="3">
        <v>1.5</v>
      </c>
      <c r="G55" s="3" t="s">
        <v>12</v>
      </c>
    </row>
    <row r="56" spans="2:7" x14ac:dyDescent="0.25">
      <c r="B56" s="3">
        <v>53</v>
      </c>
      <c r="C56" s="3">
        <v>6.9</v>
      </c>
      <c r="D56" s="3">
        <v>3.1</v>
      </c>
      <c r="E56" s="3">
        <v>4.9000000000000004</v>
      </c>
      <c r="F56" s="3">
        <v>1.5</v>
      </c>
      <c r="G56" s="3" t="s">
        <v>12</v>
      </c>
    </row>
    <row r="57" spans="2:7" x14ac:dyDescent="0.25">
      <c r="B57" s="3">
        <v>54</v>
      </c>
      <c r="C57" s="3">
        <v>5.5</v>
      </c>
      <c r="D57" s="3">
        <v>2.2999999999999998</v>
      </c>
      <c r="E57" s="3">
        <v>4</v>
      </c>
      <c r="F57" s="3">
        <v>1.3</v>
      </c>
      <c r="G57" s="3" t="s">
        <v>12</v>
      </c>
    </row>
    <row r="58" spans="2:7" x14ac:dyDescent="0.25">
      <c r="B58" s="3">
        <v>55</v>
      </c>
      <c r="C58" s="3">
        <v>6.5</v>
      </c>
      <c r="D58" s="3">
        <v>2.8</v>
      </c>
      <c r="E58" s="3">
        <v>4.5999999999999996</v>
      </c>
      <c r="F58" s="3">
        <v>1.5</v>
      </c>
      <c r="G58" s="3" t="s">
        <v>12</v>
      </c>
    </row>
    <row r="59" spans="2:7" x14ac:dyDescent="0.25">
      <c r="B59" s="3">
        <v>56</v>
      </c>
      <c r="C59" s="3">
        <v>5.7</v>
      </c>
      <c r="D59" s="3">
        <v>2.8</v>
      </c>
      <c r="E59" s="3">
        <v>4.5</v>
      </c>
      <c r="F59" s="3">
        <v>1.3</v>
      </c>
      <c r="G59" s="3" t="s">
        <v>12</v>
      </c>
    </row>
    <row r="60" spans="2:7" x14ac:dyDescent="0.25">
      <c r="B60" s="3">
        <v>57</v>
      </c>
      <c r="C60" s="3">
        <v>6.3</v>
      </c>
      <c r="D60" s="3">
        <v>3.3</v>
      </c>
      <c r="E60" s="3">
        <v>4.7</v>
      </c>
      <c r="F60" s="3">
        <v>1.6</v>
      </c>
      <c r="G60" s="3" t="s">
        <v>12</v>
      </c>
    </row>
    <row r="61" spans="2:7" x14ac:dyDescent="0.25">
      <c r="B61" s="3">
        <v>58</v>
      </c>
      <c r="C61" s="3">
        <v>4.9000000000000004</v>
      </c>
      <c r="D61" s="3">
        <v>2.4</v>
      </c>
      <c r="E61" s="3">
        <v>3.3</v>
      </c>
      <c r="F61" s="3">
        <v>1</v>
      </c>
      <c r="G61" s="3" t="s">
        <v>12</v>
      </c>
    </row>
    <row r="62" spans="2:7" x14ac:dyDescent="0.25">
      <c r="B62" s="3">
        <v>59</v>
      </c>
      <c r="C62" s="3">
        <v>6.6</v>
      </c>
      <c r="D62" s="3">
        <v>2.9</v>
      </c>
      <c r="E62" s="3">
        <v>4.5999999999999996</v>
      </c>
      <c r="F62" s="3">
        <v>1.3</v>
      </c>
      <c r="G62" s="3" t="s">
        <v>12</v>
      </c>
    </row>
    <row r="63" spans="2:7" x14ac:dyDescent="0.25">
      <c r="B63" s="3">
        <v>60</v>
      </c>
      <c r="C63" s="3">
        <v>5.2</v>
      </c>
      <c r="D63" s="3">
        <v>2.7</v>
      </c>
      <c r="E63" s="3">
        <v>3.9</v>
      </c>
      <c r="F63" s="3">
        <v>1.4</v>
      </c>
      <c r="G63" s="3" t="s">
        <v>12</v>
      </c>
    </row>
    <row r="64" spans="2:7" x14ac:dyDescent="0.25">
      <c r="B64" s="3">
        <v>61</v>
      </c>
      <c r="C64" s="3">
        <v>5</v>
      </c>
      <c r="D64" s="3">
        <v>2</v>
      </c>
      <c r="E64" s="3">
        <v>3.5</v>
      </c>
      <c r="F64" s="3">
        <v>1</v>
      </c>
      <c r="G64" s="3" t="s">
        <v>12</v>
      </c>
    </row>
    <row r="65" spans="2:13" x14ac:dyDescent="0.25">
      <c r="B65" s="3">
        <v>62</v>
      </c>
      <c r="C65" s="3">
        <v>5.9</v>
      </c>
      <c r="D65" s="3">
        <v>3</v>
      </c>
      <c r="E65" s="3">
        <v>4.2</v>
      </c>
      <c r="F65" s="3">
        <v>1.5</v>
      </c>
      <c r="G65" s="3" t="s">
        <v>12</v>
      </c>
    </row>
    <row r="66" spans="2:13" x14ac:dyDescent="0.25">
      <c r="B66" s="3">
        <v>63</v>
      </c>
      <c r="C66" s="3">
        <v>6</v>
      </c>
      <c r="D66" s="3">
        <v>2.2000000000000002</v>
      </c>
      <c r="E66" s="3">
        <v>4</v>
      </c>
      <c r="F66" s="3">
        <v>1</v>
      </c>
      <c r="G66" s="3" t="s">
        <v>12</v>
      </c>
    </row>
    <row r="67" spans="2:13" x14ac:dyDescent="0.25">
      <c r="B67" s="3">
        <v>64</v>
      </c>
      <c r="C67" s="3">
        <v>6.1</v>
      </c>
      <c r="D67" s="3">
        <v>2.9</v>
      </c>
      <c r="E67" s="3">
        <v>4.7</v>
      </c>
      <c r="F67" s="3">
        <v>1.4</v>
      </c>
      <c r="G67" s="3" t="s">
        <v>12</v>
      </c>
    </row>
    <row r="68" spans="2:13" x14ac:dyDescent="0.25">
      <c r="B68" s="3">
        <v>65</v>
      </c>
      <c r="C68" s="3">
        <v>5.6</v>
      </c>
      <c r="D68" s="3">
        <v>2.9</v>
      </c>
      <c r="E68" s="3">
        <v>3.6</v>
      </c>
      <c r="F68" s="3">
        <v>1.3</v>
      </c>
      <c r="G68" s="3" t="s">
        <v>12</v>
      </c>
      <c r="K68" s="14"/>
      <c r="L68" s="14"/>
      <c r="M68" s="14"/>
    </row>
    <row r="69" spans="2:13" x14ac:dyDescent="0.25">
      <c r="B69" s="3">
        <v>66</v>
      </c>
      <c r="C69" s="3">
        <v>6.7</v>
      </c>
      <c r="D69" s="3">
        <v>3.1</v>
      </c>
      <c r="E69" s="3">
        <v>4.4000000000000004</v>
      </c>
      <c r="F69" s="3">
        <v>1.4</v>
      </c>
      <c r="G69" s="3" t="s">
        <v>12</v>
      </c>
      <c r="K69" s="15"/>
      <c r="L69" s="15"/>
      <c r="M69" s="15"/>
    </row>
    <row r="70" spans="2:13" x14ac:dyDescent="0.25">
      <c r="B70" s="3">
        <v>67</v>
      </c>
      <c r="C70" s="3">
        <v>5.6</v>
      </c>
      <c r="D70" s="3">
        <v>3</v>
      </c>
      <c r="E70" s="3">
        <v>4.5</v>
      </c>
      <c r="F70" s="3">
        <v>1.5</v>
      </c>
      <c r="G70" s="3" t="s">
        <v>12</v>
      </c>
      <c r="K70" s="15"/>
      <c r="L70" s="15"/>
      <c r="M70" s="15"/>
    </row>
    <row r="71" spans="2:13" x14ac:dyDescent="0.25">
      <c r="B71" s="3">
        <v>68</v>
      </c>
      <c r="C71" s="3">
        <v>5.8</v>
      </c>
      <c r="D71" s="3">
        <v>2.7</v>
      </c>
      <c r="E71" s="3">
        <v>4.0999999999999996</v>
      </c>
      <c r="F71" s="3">
        <v>1</v>
      </c>
      <c r="G71" s="3" t="s">
        <v>12</v>
      </c>
    </row>
    <row r="72" spans="2:13" x14ac:dyDescent="0.25">
      <c r="B72" s="3">
        <v>69</v>
      </c>
      <c r="C72" s="3">
        <v>6.2</v>
      </c>
      <c r="D72" s="3">
        <v>2.2000000000000002</v>
      </c>
      <c r="E72" s="3">
        <v>4.5</v>
      </c>
      <c r="F72" s="3">
        <v>1.5</v>
      </c>
      <c r="G72" s="3" t="s">
        <v>12</v>
      </c>
    </row>
    <row r="73" spans="2:13" x14ac:dyDescent="0.25">
      <c r="B73" s="3">
        <v>70</v>
      </c>
      <c r="C73" s="3">
        <v>5.6</v>
      </c>
      <c r="D73" s="3">
        <v>2.5</v>
      </c>
      <c r="E73" s="3">
        <v>3.9</v>
      </c>
      <c r="F73" s="3">
        <v>1.1000000000000001</v>
      </c>
      <c r="G73" s="3" t="s">
        <v>12</v>
      </c>
    </row>
    <row r="74" spans="2:13" x14ac:dyDescent="0.25">
      <c r="B74" s="3">
        <v>71</v>
      </c>
      <c r="C74" s="3">
        <v>5.9</v>
      </c>
      <c r="D74" s="3">
        <v>3.2</v>
      </c>
      <c r="E74" s="3">
        <v>4.8</v>
      </c>
      <c r="F74" s="3">
        <v>1.8</v>
      </c>
      <c r="G74" s="3" t="s">
        <v>12</v>
      </c>
    </row>
    <row r="75" spans="2:13" x14ac:dyDescent="0.25">
      <c r="B75" s="3">
        <v>72</v>
      </c>
      <c r="C75" s="3">
        <v>6.1</v>
      </c>
      <c r="D75" s="3">
        <v>2.8</v>
      </c>
      <c r="E75" s="3">
        <v>4</v>
      </c>
      <c r="F75" s="3">
        <v>1.3</v>
      </c>
      <c r="G75" s="3" t="s">
        <v>12</v>
      </c>
    </row>
    <row r="76" spans="2:13" x14ac:dyDescent="0.25">
      <c r="B76" s="3">
        <v>73</v>
      </c>
      <c r="C76" s="3">
        <v>6.3</v>
      </c>
      <c r="D76" s="3">
        <v>2.5</v>
      </c>
      <c r="E76" s="3">
        <v>4.9000000000000004</v>
      </c>
      <c r="F76" s="3">
        <v>1.5</v>
      </c>
      <c r="G76" s="3" t="s">
        <v>12</v>
      </c>
    </row>
    <row r="77" spans="2:13" x14ac:dyDescent="0.25">
      <c r="B77" s="3">
        <v>74</v>
      </c>
      <c r="C77" s="3">
        <v>6.1</v>
      </c>
      <c r="D77" s="3">
        <v>2.8</v>
      </c>
      <c r="E77" s="3">
        <v>4.7</v>
      </c>
      <c r="F77" s="3">
        <v>1.2</v>
      </c>
      <c r="G77" s="3" t="s">
        <v>12</v>
      </c>
    </row>
    <row r="78" spans="2:13" x14ac:dyDescent="0.25">
      <c r="B78" s="3">
        <v>75</v>
      </c>
      <c r="C78" s="3">
        <v>6.4</v>
      </c>
      <c r="D78" s="3">
        <v>2.9</v>
      </c>
      <c r="E78" s="3">
        <v>4.3</v>
      </c>
      <c r="F78" s="3">
        <v>1.3</v>
      </c>
      <c r="G78" s="3" t="s">
        <v>12</v>
      </c>
    </row>
    <row r="79" spans="2:13" x14ac:dyDescent="0.25">
      <c r="B79" s="3">
        <v>76</v>
      </c>
      <c r="C79" s="3">
        <v>6.6</v>
      </c>
      <c r="D79" s="3">
        <v>3</v>
      </c>
      <c r="E79" s="3">
        <v>4.4000000000000004</v>
      </c>
      <c r="F79" s="3">
        <v>1.4</v>
      </c>
      <c r="G79" s="3" t="s">
        <v>12</v>
      </c>
    </row>
    <row r="80" spans="2:13" x14ac:dyDescent="0.25">
      <c r="B80" s="3">
        <v>77</v>
      </c>
      <c r="C80" s="3">
        <v>6.8</v>
      </c>
      <c r="D80" s="3">
        <v>2.8</v>
      </c>
      <c r="E80" s="3">
        <v>4.8</v>
      </c>
      <c r="F80" s="3">
        <v>1.4</v>
      </c>
      <c r="G80" s="3" t="s">
        <v>12</v>
      </c>
    </row>
    <row r="81" spans="2:16" x14ac:dyDescent="0.25">
      <c r="B81" s="3">
        <v>78</v>
      </c>
      <c r="C81" s="3">
        <v>6.7</v>
      </c>
      <c r="D81" s="3">
        <v>3</v>
      </c>
      <c r="E81" s="3">
        <v>5</v>
      </c>
      <c r="F81" s="3">
        <v>1.7</v>
      </c>
      <c r="G81" s="3" t="s">
        <v>12</v>
      </c>
    </row>
    <row r="82" spans="2:16" x14ac:dyDescent="0.25">
      <c r="B82" s="3">
        <v>79</v>
      </c>
      <c r="C82" s="3">
        <v>6</v>
      </c>
      <c r="D82" s="3">
        <v>2.9</v>
      </c>
      <c r="E82" s="3">
        <v>4.5</v>
      </c>
      <c r="F82" s="3">
        <v>1.5</v>
      </c>
      <c r="G82" s="3" t="s">
        <v>12</v>
      </c>
    </row>
    <row r="83" spans="2:16" x14ac:dyDescent="0.25">
      <c r="B83" s="3">
        <v>80</v>
      </c>
      <c r="C83" s="3">
        <v>5.7</v>
      </c>
      <c r="D83" s="3">
        <v>2.6</v>
      </c>
      <c r="E83" s="3">
        <v>3.5</v>
      </c>
      <c r="F83" s="3">
        <v>1</v>
      </c>
      <c r="G83" s="3" t="s">
        <v>12</v>
      </c>
    </row>
    <row r="84" spans="2:16" x14ac:dyDescent="0.25">
      <c r="B84" s="3">
        <v>81</v>
      </c>
      <c r="C84" s="3">
        <v>5.5</v>
      </c>
      <c r="D84" s="3">
        <v>2.4</v>
      </c>
      <c r="E84" s="3">
        <v>3.8</v>
      </c>
      <c r="F84" s="3">
        <v>1.1000000000000001</v>
      </c>
      <c r="G84" s="3" t="s">
        <v>12</v>
      </c>
      <c r="P84" s="16"/>
    </row>
    <row r="85" spans="2:16" x14ac:dyDescent="0.25">
      <c r="B85" s="3">
        <v>82</v>
      </c>
      <c r="C85" s="3">
        <v>5.5</v>
      </c>
      <c r="D85" s="3">
        <v>2.4</v>
      </c>
      <c r="E85" s="3">
        <v>3.7</v>
      </c>
      <c r="F85" s="3">
        <v>1</v>
      </c>
      <c r="G85" s="3" t="s">
        <v>12</v>
      </c>
    </row>
    <row r="86" spans="2:16" x14ac:dyDescent="0.25">
      <c r="B86" s="3">
        <v>83</v>
      </c>
      <c r="C86" s="3">
        <v>5.8</v>
      </c>
      <c r="D86" s="3">
        <v>2.7</v>
      </c>
      <c r="E86" s="3">
        <v>3.9</v>
      </c>
      <c r="F86" s="3">
        <v>1.2</v>
      </c>
      <c r="G86" s="3" t="s">
        <v>12</v>
      </c>
    </row>
    <row r="87" spans="2:16" x14ac:dyDescent="0.25">
      <c r="B87" s="3">
        <v>84</v>
      </c>
      <c r="C87" s="3">
        <v>6</v>
      </c>
      <c r="D87" s="3">
        <v>2.7</v>
      </c>
      <c r="E87" s="3">
        <v>5.0999999999999996</v>
      </c>
      <c r="F87" s="3">
        <v>1.6</v>
      </c>
      <c r="G87" s="3" t="s">
        <v>12</v>
      </c>
    </row>
    <row r="88" spans="2:16" x14ac:dyDescent="0.25">
      <c r="B88" s="3">
        <v>85</v>
      </c>
      <c r="C88" s="3">
        <v>5.4</v>
      </c>
      <c r="D88" s="3">
        <v>3</v>
      </c>
      <c r="E88" s="3">
        <v>4.5</v>
      </c>
      <c r="F88" s="3">
        <v>1.5</v>
      </c>
      <c r="G88" s="3" t="s">
        <v>12</v>
      </c>
    </row>
    <row r="89" spans="2:16" x14ac:dyDescent="0.25">
      <c r="B89" s="3">
        <v>86</v>
      </c>
      <c r="C89" s="3">
        <v>6</v>
      </c>
      <c r="D89" s="3">
        <v>3.4</v>
      </c>
      <c r="E89" s="3">
        <v>4.5</v>
      </c>
      <c r="F89" s="3">
        <v>1.6</v>
      </c>
      <c r="G89" s="3" t="s">
        <v>12</v>
      </c>
    </row>
    <row r="90" spans="2:16" x14ac:dyDescent="0.25">
      <c r="B90" s="3">
        <v>87</v>
      </c>
      <c r="C90" s="3">
        <v>6.7</v>
      </c>
      <c r="D90" s="3">
        <v>3.1</v>
      </c>
      <c r="E90" s="3">
        <v>4.7</v>
      </c>
      <c r="F90" s="3">
        <v>1.5</v>
      </c>
      <c r="G90" s="3" t="s">
        <v>12</v>
      </c>
    </row>
    <row r="91" spans="2:16" x14ac:dyDescent="0.25">
      <c r="B91" s="3">
        <v>88</v>
      </c>
      <c r="C91" s="3">
        <v>6.3</v>
      </c>
      <c r="D91" s="3">
        <v>2.2999999999999998</v>
      </c>
      <c r="E91" s="3">
        <v>4.4000000000000004</v>
      </c>
      <c r="F91" s="3">
        <v>1.3</v>
      </c>
      <c r="G91" s="3" t="s">
        <v>12</v>
      </c>
    </row>
    <row r="92" spans="2:16" x14ac:dyDescent="0.25">
      <c r="B92" s="3">
        <v>89</v>
      </c>
      <c r="C92" s="3">
        <v>5.6</v>
      </c>
      <c r="D92" s="3">
        <v>3</v>
      </c>
      <c r="E92" s="3">
        <v>4.0999999999999996</v>
      </c>
      <c r="F92" s="3">
        <v>1.3</v>
      </c>
      <c r="G92" s="3" t="s">
        <v>12</v>
      </c>
    </row>
    <row r="93" spans="2:16" x14ac:dyDescent="0.25">
      <c r="B93" s="3">
        <v>90</v>
      </c>
      <c r="C93" s="3">
        <v>5.5</v>
      </c>
      <c r="D93" s="3">
        <v>2.5</v>
      </c>
      <c r="E93" s="3">
        <v>4</v>
      </c>
      <c r="F93" s="3">
        <v>1.3</v>
      </c>
      <c r="G93" s="3" t="s">
        <v>12</v>
      </c>
    </row>
    <row r="94" spans="2:16" x14ac:dyDescent="0.25">
      <c r="B94" s="3">
        <v>91</v>
      </c>
      <c r="C94" s="3">
        <v>5.5</v>
      </c>
      <c r="D94" s="3">
        <v>2.6</v>
      </c>
      <c r="E94" s="3">
        <v>4.4000000000000004</v>
      </c>
      <c r="F94" s="3">
        <v>1.2</v>
      </c>
      <c r="G94" s="3" t="s">
        <v>12</v>
      </c>
    </row>
    <row r="95" spans="2:16" x14ac:dyDescent="0.25">
      <c r="B95" s="3">
        <v>92</v>
      </c>
      <c r="C95" s="3">
        <v>6.1</v>
      </c>
      <c r="D95" s="3">
        <v>3</v>
      </c>
      <c r="E95" s="3">
        <v>4.5999999999999996</v>
      </c>
      <c r="F95" s="3">
        <v>1.4</v>
      </c>
      <c r="G95" s="3" t="s">
        <v>12</v>
      </c>
    </row>
    <row r="96" spans="2:16" x14ac:dyDescent="0.25">
      <c r="B96" s="3">
        <v>93</v>
      </c>
      <c r="C96" s="3">
        <v>5.8</v>
      </c>
      <c r="D96" s="3">
        <v>2.6</v>
      </c>
      <c r="E96" s="3">
        <v>4</v>
      </c>
      <c r="F96" s="3">
        <v>1.2</v>
      </c>
      <c r="G96" s="3" t="s">
        <v>12</v>
      </c>
    </row>
    <row r="97" spans="2:7" x14ac:dyDescent="0.25">
      <c r="B97" s="3">
        <v>94</v>
      </c>
      <c r="C97" s="3">
        <v>5</v>
      </c>
      <c r="D97" s="3">
        <v>2.2999999999999998</v>
      </c>
      <c r="E97" s="3">
        <v>3.3</v>
      </c>
      <c r="F97" s="3">
        <v>1</v>
      </c>
      <c r="G97" s="3" t="s">
        <v>12</v>
      </c>
    </row>
    <row r="98" spans="2:7" x14ac:dyDescent="0.25">
      <c r="B98" s="3">
        <v>95</v>
      </c>
      <c r="C98" s="3">
        <v>5.6</v>
      </c>
      <c r="D98" s="3">
        <v>2.7</v>
      </c>
      <c r="E98" s="3">
        <v>4.2</v>
      </c>
      <c r="F98" s="3">
        <v>1.3</v>
      </c>
      <c r="G98" s="3" t="s">
        <v>12</v>
      </c>
    </row>
    <row r="99" spans="2:7" x14ac:dyDescent="0.25">
      <c r="B99" s="3">
        <v>96</v>
      </c>
      <c r="C99" s="3">
        <v>5.7</v>
      </c>
      <c r="D99" s="3">
        <v>3</v>
      </c>
      <c r="E99" s="3">
        <v>4.2</v>
      </c>
      <c r="F99" s="3">
        <v>1.2</v>
      </c>
      <c r="G99" s="3" t="s">
        <v>12</v>
      </c>
    </row>
    <row r="100" spans="2:7" x14ac:dyDescent="0.25">
      <c r="B100" s="3">
        <v>97</v>
      </c>
      <c r="C100" s="3">
        <v>5.7</v>
      </c>
      <c r="D100" s="3">
        <v>2.9</v>
      </c>
      <c r="E100" s="3">
        <v>4.2</v>
      </c>
      <c r="F100" s="3">
        <v>1.3</v>
      </c>
      <c r="G100" s="3" t="s">
        <v>12</v>
      </c>
    </row>
    <row r="101" spans="2:7" x14ac:dyDescent="0.25">
      <c r="B101" s="3">
        <v>98</v>
      </c>
      <c r="C101" s="3">
        <v>6.2</v>
      </c>
      <c r="D101" s="3">
        <v>2.9</v>
      </c>
      <c r="E101" s="3">
        <v>4.3</v>
      </c>
      <c r="F101" s="3">
        <v>1.3</v>
      </c>
      <c r="G101" s="3" t="s">
        <v>12</v>
      </c>
    </row>
    <row r="102" spans="2:7" x14ac:dyDescent="0.25">
      <c r="B102" s="3">
        <v>99</v>
      </c>
      <c r="C102" s="3">
        <v>5.0999999999999996</v>
      </c>
      <c r="D102" s="3">
        <v>2.5</v>
      </c>
      <c r="E102" s="3">
        <v>3</v>
      </c>
      <c r="F102" s="3">
        <v>1.1000000000000001</v>
      </c>
      <c r="G102" s="3" t="s">
        <v>12</v>
      </c>
    </row>
    <row r="103" spans="2:7" x14ac:dyDescent="0.25">
      <c r="B103" s="3">
        <v>100</v>
      </c>
      <c r="C103" s="3">
        <v>5.7</v>
      </c>
      <c r="D103" s="3">
        <v>2.8</v>
      </c>
      <c r="E103" s="3">
        <v>4.0999999999999996</v>
      </c>
      <c r="F103" s="3">
        <v>1.3</v>
      </c>
      <c r="G103" s="3" t="s">
        <v>12</v>
      </c>
    </row>
    <row r="104" spans="2:7" x14ac:dyDescent="0.25">
      <c r="B104" s="3">
        <v>101</v>
      </c>
      <c r="C104" s="3">
        <v>6.3</v>
      </c>
      <c r="D104" s="3">
        <v>3.3</v>
      </c>
      <c r="E104" s="3">
        <v>6</v>
      </c>
      <c r="F104" s="3">
        <v>2.5</v>
      </c>
      <c r="G104" s="3" t="s">
        <v>13</v>
      </c>
    </row>
    <row r="105" spans="2:7" x14ac:dyDescent="0.25">
      <c r="B105" s="3">
        <v>102</v>
      </c>
      <c r="C105" s="3">
        <v>5.8</v>
      </c>
      <c r="D105" s="3">
        <v>2.7</v>
      </c>
      <c r="E105" s="3">
        <v>5.0999999999999996</v>
      </c>
      <c r="F105" s="3">
        <v>1.9</v>
      </c>
      <c r="G105" s="3" t="s">
        <v>13</v>
      </c>
    </row>
    <row r="106" spans="2:7" x14ac:dyDescent="0.25">
      <c r="B106" s="3">
        <v>103</v>
      </c>
      <c r="C106" s="3">
        <v>7.1</v>
      </c>
      <c r="D106" s="3">
        <v>3</v>
      </c>
      <c r="E106" s="3">
        <v>5.9</v>
      </c>
      <c r="F106" s="3">
        <v>2.1</v>
      </c>
      <c r="G106" s="3" t="s">
        <v>13</v>
      </c>
    </row>
    <row r="107" spans="2:7" x14ac:dyDescent="0.25">
      <c r="B107" s="3">
        <v>104</v>
      </c>
      <c r="C107" s="3">
        <v>6.3</v>
      </c>
      <c r="D107" s="3">
        <v>2.9</v>
      </c>
      <c r="E107" s="3">
        <v>5.6</v>
      </c>
      <c r="F107" s="3">
        <v>1.8</v>
      </c>
      <c r="G107" s="3" t="s">
        <v>13</v>
      </c>
    </row>
    <row r="108" spans="2:7" x14ac:dyDescent="0.25">
      <c r="B108" s="3">
        <v>105</v>
      </c>
      <c r="C108" s="3">
        <v>6.5</v>
      </c>
      <c r="D108" s="3">
        <v>3</v>
      </c>
      <c r="E108" s="3">
        <v>5.8</v>
      </c>
      <c r="F108" s="3">
        <v>2.2000000000000002</v>
      </c>
      <c r="G108" s="3" t="s">
        <v>13</v>
      </c>
    </row>
    <row r="109" spans="2:7" x14ac:dyDescent="0.25">
      <c r="B109" s="3">
        <v>106</v>
      </c>
      <c r="C109" s="3">
        <v>7.6</v>
      </c>
      <c r="D109" s="3">
        <v>3</v>
      </c>
      <c r="E109" s="3">
        <v>6.6</v>
      </c>
      <c r="F109" s="3">
        <v>2.1</v>
      </c>
      <c r="G109" s="3" t="s">
        <v>13</v>
      </c>
    </row>
    <row r="110" spans="2:7" x14ac:dyDescent="0.25">
      <c r="B110" s="3">
        <v>107</v>
      </c>
      <c r="C110" s="3">
        <v>4.9000000000000004</v>
      </c>
      <c r="D110" s="3">
        <v>2.5</v>
      </c>
      <c r="E110" s="3">
        <v>4.5</v>
      </c>
      <c r="F110" s="3">
        <v>1.7</v>
      </c>
      <c r="G110" s="3" t="s">
        <v>13</v>
      </c>
    </row>
    <row r="111" spans="2:7" x14ac:dyDescent="0.25">
      <c r="B111" s="3">
        <v>108</v>
      </c>
      <c r="C111" s="3">
        <v>7.3</v>
      </c>
      <c r="D111" s="3">
        <v>2.9</v>
      </c>
      <c r="E111" s="3">
        <v>6.3</v>
      </c>
      <c r="F111" s="3">
        <v>1.8</v>
      </c>
      <c r="G111" s="3" t="s">
        <v>13</v>
      </c>
    </row>
    <row r="112" spans="2:7" x14ac:dyDescent="0.25">
      <c r="B112" s="3">
        <v>109</v>
      </c>
      <c r="C112" s="3">
        <v>6.7</v>
      </c>
      <c r="D112" s="3">
        <v>2.5</v>
      </c>
      <c r="E112" s="3">
        <v>5.8</v>
      </c>
      <c r="F112" s="3">
        <v>1.8</v>
      </c>
      <c r="G112" s="3" t="s">
        <v>13</v>
      </c>
    </row>
    <row r="113" spans="2:7" x14ac:dyDescent="0.25">
      <c r="B113" s="3">
        <v>110</v>
      </c>
      <c r="C113" s="3">
        <v>7.2</v>
      </c>
      <c r="D113" s="3">
        <v>3.6</v>
      </c>
      <c r="E113" s="3">
        <v>6.1</v>
      </c>
      <c r="F113" s="3">
        <v>2.5</v>
      </c>
      <c r="G113" s="3" t="s">
        <v>13</v>
      </c>
    </row>
    <row r="114" spans="2:7" x14ac:dyDescent="0.25">
      <c r="B114" s="3">
        <v>111</v>
      </c>
      <c r="C114" s="3">
        <v>6.5</v>
      </c>
      <c r="D114" s="3">
        <v>3.2</v>
      </c>
      <c r="E114" s="3">
        <v>5.0999999999999996</v>
      </c>
      <c r="F114" s="3">
        <v>2</v>
      </c>
      <c r="G114" s="3" t="s">
        <v>13</v>
      </c>
    </row>
    <row r="115" spans="2:7" x14ac:dyDescent="0.25">
      <c r="B115" s="3">
        <v>112</v>
      </c>
      <c r="C115" s="3">
        <v>6.4</v>
      </c>
      <c r="D115" s="3">
        <v>2.7</v>
      </c>
      <c r="E115" s="3">
        <v>5.3</v>
      </c>
      <c r="F115" s="3">
        <v>1.9</v>
      </c>
      <c r="G115" s="3" t="s">
        <v>13</v>
      </c>
    </row>
    <row r="116" spans="2:7" x14ac:dyDescent="0.25">
      <c r="B116" s="3">
        <v>113</v>
      </c>
      <c r="C116" s="3">
        <v>6.8</v>
      </c>
      <c r="D116" s="3">
        <v>3</v>
      </c>
      <c r="E116" s="3">
        <v>5.5</v>
      </c>
      <c r="F116" s="3">
        <v>2.1</v>
      </c>
      <c r="G116" s="3" t="s">
        <v>13</v>
      </c>
    </row>
    <row r="117" spans="2:7" x14ac:dyDescent="0.25">
      <c r="B117" s="3">
        <v>114</v>
      </c>
      <c r="C117" s="3">
        <v>5.7</v>
      </c>
      <c r="D117" s="3">
        <v>2.5</v>
      </c>
      <c r="E117" s="3">
        <v>5</v>
      </c>
      <c r="F117" s="3">
        <v>2</v>
      </c>
      <c r="G117" s="3" t="s">
        <v>13</v>
      </c>
    </row>
    <row r="118" spans="2:7" x14ac:dyDescent="0.25">
      <c r="B118" s="3">
        <v>115</v>
      </c>
      <c r="C118" s="3">
        <v>5.8</v>
      </c>
      <c r="D118" s="3">
        <v>2.8</v>
      </c>
      <c r="E118" s="3">
        <v>5.0999999999999996</v>
      </c>
      <c r="F118" s="3">
        <v>2.4</v>
      </c>
      <c r="G118" s="3" t="s">
        <v>13</v>
      </c>
    </row>
    <row r="119" spans="2:7" x14ac:dyDescent="0.25">
      <c r="B119" s="3">
        <v>116</v>
      </c>
      <c r="C119" s="3">
        <v>6.4</v>
      </c>
      <c r="D119" s="3">
        <v>3.2</v>
      </c>
      <c r="E119" s="3">
        <v>5.3</v>
      </c>
      <c r="F119" s="3">
        <v>2.2999999999999998</v>
      </c>
      <c r="G119" s="3" t="s">
        <v>13</v>
      </c>
    </row>
    <row r="120" spans="2:7" x14ac:dyDescent="0.25">
      <c r="B120" s="3">
        <v>117</v>
      </c>
      <c r="C120" s="3">
        <v>6.5</v>
      </c>
      <c r="D120" s="3">
        <v>3</v>
      </c>
      <c r="E120" s="3">
        <v>5.5</v>
      </c>
      <c r="F120" s="3">
        <v>1.8</v>
      </c>
      <c r="G120" s="3" t="s">
        <v>13</v>
      </c>
    </row>
    <row r="121" spans="2:7" x14ac:dyDescent="0.25">
      <c r="B121" s="3">
        <v>118</v>
      </c>
      <c r="C121" s="3">
        <v>7.7</v>
      </c>
      <c r="D121" s="3">
        <v>3.8</v>
      </c>
      <c r="E121" s="3">
        <v>6.7</v>
      </c>
      <c r="F121" s="3">
        <v>2.2000000000000002</v>
      </c>
      <c r="G121" s="3" t="s">
        <v>13</v>
      </c>
    </row>
    <row r="122" spans="2:7" x14ac:dyDescent="0.25">
      <c r="B122" s="3">
        <v>119</v>
      </c>
      <c r="C122" s="3">
        <v>7.7</v>
      </c>
      <c r="D122" s="3">
        <v>2.6</v>
      </c>
      <c r="E122" s="3">
        <v>6.9</v>
      </c>
      <c r="F122" s="3">
        <v>2.2999999999999998</v>
      </c>
      <c r="G122" s="3" t="s">
        <v>13</v>
      </c>
    </row>
    <row r="123" spans="2:7" x14ac:dyDescent="0.25">
      <c r="B123" s="3">
        <v>120</v>
      </c>
      <c r="C123" s="3">
        <v>6</v>
      </c>
      <c r="D123" s="3">
        <v>2.2000000000000002</v>
      </c>
      <c r="E123" s="3">
        <v>5</v>
      </c>
      <c r="F123" s="3">
        <v>1.5</v>
      </c>
      <c r="G123" s="3" t="s">
        <v>13</v>
      </c>
    </row>
    <row r="124" spans="2:7" x14ac:dyDescent="0.25">
      <c r="B124" s="3">
        <v>121</v>
      </c>
      <c r="C124" s="3">
        <v>6.9</v>
      </c>
      <c r="D124" s="3">
        <v>3.2</v>
      </c>
      <c r="E124" s="3">
        <v>5.7</v>
      </c>
      <c r="F124" s="3">
        <v>2.2999999999999998</v>
      </c>
      <c r="G124" s="3" t="s">
        <v>13</v>
      </c>
    </row>
    <row r="125" spans="2:7" x14ac:dyDescent="0.25">
      <c r="B125" s="3">
        <v>122</v>
      </c>
      <c r="C125" s="3">
        <v>5.6</v>
      </c>
      <c r="D125" s="3">
        <v>2.8</v>
      </c>
      <c r="E125" s="3">
        <v>4.9000000000000004</v>
      </c>
      <c r="F125" s="3">
        <v>2</v>
      </c>
      <c r="G125" s="3" t="s">
        <v>13</v>
      </c>
    </row>
    <row r="126" spans="2:7" x14ac:dyDescent="0.25">
      <c r="B126" s="3">
        <v>123</v>
      </c>
      <c r="C126" s="3">
        <v>7.7</v>
      </c>
      <c r="D126" s="3">
        <v>2.8</v>
      </c>
      <c r="E126" s="3">
        <v>6.7</v>
      </c>
      <c r="F126" s="3">
        <v>2</v>
      </c>
      <c r="G126" s="3" t="s">
        <v>13</v>
      </c>
    </row>
    <row r="127" spans="2:7" x14ac:dyDescent="0.25">
      <c r="B127" s="3">
        <v>124</v>
      </c>
      <c r="C127" s="3">
        <v>6.3</v>
      </c>
      <c r="D127" s="3">
        <v>2.7</v>
      </c>
      <c r="E127" s="3">
        <v>4.9000000000000004</v>
      </c>
      <c r="F127" s="3">
        <v>1.8</v>
      </c>
      <c r="G127" s="3" t="s">
        <v>13</v>
      </c>
    </row>
    <row r="128" spans="2:7" x14ac:dyDescent="0.25">
      <c r="B128" s="3">
        <v>125</v>
      </c>
      <c r="C128" s="3">
        <v>6.7</v>
      </c>
      <c r="D128" s="3">
        <v>3.3</v>
      </c>
      <c r="E128" s="3">
        <v>5.7</v>
      </c>
      <c r="F128" s="3">
        <v>2.1</v>
      </c>
      <c r="G128" s="3" t="s">
        <v>13</v>
      </c>
    </row>
    <row r="129" spans="2:7" x14ac:dyDescent="0.25">
      <c r="B129" s="3">
        <v>126</v>
      </c>
      <c r="C129" s="3">
        <v>7.2</v>
      </c>
      <c r="D129" s="3">
        <v>3.2</v>
      </c>
      <c r="E129" s="3">
        <v>6</v>
      </c>
      <c r="F129" s="3">
        <v>1.8</v>
      </c>
      <c r="G129" s="3" t="s">
        <v>13</v>
      </c>
    </row>
    <row r="130" spans="2:7" x14ac:dyDescent="0.25">
      <c r="B130" s="3">
        <v>127</v>
      </c>
      <c r="C130" s="3">
        <v>6.2</v>
      </c>
      <c r="D130" s="3">
        <v>2.8</v>
      </c>
      <c r="E130" s="3">
        <v>4.8</v>
      </c>
      <c r="F130" s="3">
        <v>1.8</v>
      </c>
      <c r="G130" s="3" t="s">
        <v>13</v>
      </c>
    </row>
    <row r="131" spans="2:7" x14ac:dyDescent="0.25">
      <c r="B131" s="3">
        <v>128</v>
      </c>
      <c r="C131" s="3">
        <v>6.1</v>
      </c>
      <c r="D131" s="3">
        <v>3</v>
      </c>
      <c r="E131" s="3">
        <v>4.9000000000000004</v>
      </c>
      <c r="F131" s="3">
        <v>1.8</v>
      </c>
      <c r="G131" s="3" t="s">
        <v>13</v>
      </c>
    </row>
    <row r="132" spans="2:7" x14ac:dyDescent="0.25">
      <c r="B132" s="3">
        <v>129</v>
      </c>
      <c r="C132" s="3">
        <v>6.4</v>
      </c>
      <c r="D132" s="3">
        <v>2.8</v>
      </c>
      <c r="E132" s="3">
        <v>5.6</v>
      </c>
      <c r="F132" s="3">
        <v>2.1</v>
      </c>
      <c r="G132" s="3" t="s">
        <v>13</v>
      </c>
    </row>
    <row r="133" spans="2:7" x14ac:dyDescent="0.25">
      <c r="B133" s="3">
        <v>130</v>
      </c>
      <c r="C133" s="3">
        <v>7.2</v>
      </c>
      <c r="D133" s="3">
        <v>3</v>
      </c>
      <c r="E133" s="3">
        <v>5.8</v>
      </c>
      <c r="F133" s="3">
        <v>1.6</v>
      </c>
      <c r="G133" s="3" t="s">
        <v>13</v>
      </c>
    </row>
    <row r="134" spans="2:7" x14ac:dyDescent="0.25">
      <c r="B134" s="3">
        <v>131</v>
      </c>
      <c r="C134" s="3">
        <v>7.4</v>
      </c>
      <c r="D134" s="3">
        <v>2.8</v>
      </c>
      <c r="E134" s="3">
        <v>6.1</v>
      </c>
      <c r="F134" s="3">
        <v>1.9</v>
      </c>
      <c r="G134" s="3" t="s">
        <v>13</v>
      </c>
    </row>
    <row r="135" spans="2:7" x14ac:dyDescent="0.25">
      <c r="B135" s="3">
        <v>132</v>
      </c>
      <c r="C135" s="3">
        <v>7.9</v>
      </c>
      <c r="D135" s="3">
        <v>3.8</v>
      </c>
      <c r="E135" s="3">
        <v>6.4</v>
      </c>
      <c r="F135" s="3">
        <v>2</v>
      </c>
      <c r="G135" s="3" t="s">
        <v>13</v>
      </c>
    </row>
    <row r="136" spans="2:7" x14ac:dyDescent="0.25">
      <c r="B136" s="3">
        <v>133</v>
      </c>
      <c r="C136" s="3">
        <v>6.4</v>
      </c>
      <c r="D136" s="3">
        <v>2.8</v>
      </c>
      <c r="E136" s="3">
        <v>5.6</v>
      </c>
      <c r="F136" s="3">
        <v>2.2000000000000002</v>
      </c>
      <c r="G136" s="3" t="s">
        <v>13</v>
      </c>
    </row>
    <row r="137" spans="2:7" x14ac:dyDescent="0.25">
      <c r="B137" s="3">
        <v>134</v>
      </c>
      <c r="C137" s="3">
        <v>6.3</v>
      </c>
      <c r="D137" s="3">
        <v>2.8</v>
      </c>
      <c r="E137" s="3">
        <v>5.0999999999999996</v>
      </c>
      <c r="F137" s="3">
        <v>1.5</v>
      </c>
      <c r="G137" s="3" t="s">
        <v>13</v>
      </c>
    </row>
    <row r="138" spans="2:7" x14ac:dyDescent="0.25">
      <c r="B138" s="3">
        <v>135</v>
      </c>
      <c r="C138" s="3">
        <v>6.1</v>
      </c>
      <c r="D138" s="3">
        <v>2.6</v>
      </c>
      <c r="E138" s="3">
        <v>5.6</v>
      </c>
      <c r="F138" s="3">
        <v>1.4</v>
      </c>
      <c r="G138" s="3" t="s">
        <v>13</v>
      </c>
    </row>
    <row r="139" spans="2:7" x14ac:dyDescent="0.25">
      <c r="B139" s="3">
        <v>136</v>
      </c>
      <c r="C139" s="3">
        <v>7.7</v>
      </c>
      <c r="D139" s="3">
        <v>3</v>
      </c>
      <c r="E139" s="3">
        <v>6.1</v>
      </c>
      <c r="F139" s="3">
        <v>2.2999999999999998</v>
      </c>
      <c r="G139" s="3" t="s">
        <v>13</v>
      </c>
    </row>
    <row r="140" spans="2:7" x14ac:dyDescent="0.25">
      <c r="B140" s="3">
        <v>137</v>
      </c>
      <c r="C140" s="3">
        <v>6.3</v>
      </c>
      <c r="D140" s="3">
        <v>3.4</v>
      </c>
      <c r="E140" s="3">
        <v>5.6</v>
      </c>
      <c r="F140" s="3">
        <v>2.4</v>
      </c>
      <c r="G140" s="3" t="s">
        <v>13</v>
      </c>
    </row>
    <row r="141" spans="2:7" x14ac:dyDescent="0.25">
      <c r="B141" s="3">
        <v>138</v>
      </c>
      <c r="C141" s="3">
        <v>6.4</v>
      </c>
      <c r="D141" s="3">
        <v>3.1</v>
      </c>
      <c r="E141" s="3">
        <v>5.5</v>
      </c>
      <c r="F141" s="3">
        <v>1.8</v>
      </c>
      <c r="G141" s="3" t="s">
        <v>13</v>
      </c>
    </row>
    <row r="142" spans="2:7" x14ac:dyDescent="0.25">
      <c r="B142" s="3">
        <v>139</v>
      </c>
      <c r="C142" s="3">
        <v>6</v>
      </c>
      <c r="D142" s="3">
        <v>3</v>
      </c>
      <c r="E142" s="3">
        <v>4.8</v>
      </c>
      <c r="F142" s="3">
        <v>1.8</v>
      </c>
      <c r="G142" s="3" t="s">
        <v>13</v>
      </c>
    </row>
    <row r="143" spans="2:7" x14ac:dyDescent="0.25">
      <c r="B143" s="3">
        <v>140</v>
      </c>
      <c r="C143" s="3">
        <v>6.9</v>
      </c>
      <c r="D143" s="3">
        <v>3.1</v>
      </c>
      <c r="E143" s="3">
        <v>5.4</v>
      </c>
      <c r="F143" s="3">
        <v>2.1</v>
      </c>
      <c r="G143" s="3" t="s">
        <v>13</v>
      </c>
    </row>
    <row r="144" spans="2:7" x14ac:dyDescent="0.25">
      <c r="B144" s="3">
        <v>141</v>
      </c>
      <c r="C144" s="3">
        <v>6.7</v>
      </c>
      <c r="D144" s="3">
        <v>3.1</v>
      </c>
      <c r="E144" s="3">
        <v>5.6</v>
      </c>
      <c r="F144" s="3">
        <v>2.4</v>
      </c>
      <c r="G144" s="3" t="s">
        <v>13</v>
      </c>
    </row>
    <row r="145" spans="2:7" x14ac:dyDescent="0.25">
      <c r="B145" s="3">
        <v>142</v>
      </c>
      <c r="C145" s="3">
        <v>6.9</v>
      </c>
      <c r="D145" s="3">
        <v>3.1</v>
      </c>
      <c r="E145" s="3">
        <v>5.0999999999999996</v>
      </c>
      <c r="F145" s="3">
        <v>2.2999999999999998</v>
      </c>
      <c r="G145" s="3" t="s">
        <v>13</v>
      </c>
    </row>
    <row r="146" spans="2:7" x14ac:dyDescent="0.25">
      <c r="B146" s="3">
        <v>143</v>
      </c>
      <c r="C146" s="3">
        <v>5.8</v>
      </c>
      <c r="D146" s="3">
        <v>2.7</v>
      </c>
      <c r="E146" s="3">
        <v>5.0999999999999996</v>
      </c>
      <c r="F146" s="3">
        <v>1.9</v>
      </c>
      <c r="G146" s="3" t="s">
        <v>13</v>
      </c>
    </row>
    <row r="147" spans="2:7" x14ac:dyDescent="0.25">
      <c r="B147" s="3">
        <v>144</v>
      </c>
      <c r="C147" s="3">
        <v>6.8</v>
      </c>
      <c r="D147" s="3">
        <v>3.2</v>
      </c>
      <c r="E147" s="3">
        <v>5.9</v>
      </c>
      <c r="F147" s="3">
        <v>2.2999999999999998</v>
      </c>
      <c r="G147" s="3" t="s">
        <v>13</v>
      </c>
    </row>
    <row r="148" spans="2:7" x14ac:dyDescent="0.25">
      <c r="B148" s="3">
        <v>145</v>
      </c>
      <c r="C148" s="3">
        <v>6.7</v>
      </c>
      <c r="D148" s="3">
        <v>3.3</v>
      </c>
      <c r="E148" s="3">
        <v>5.7</v>
      </c>
      <c r="F148" s="3">
        <v>2.5</v>
      </c>
      <c r="G148" s="3" t="s">
        <v>13</v>
      </c>
    </row>
    <row r="149" spans="2:7" x14ac:dyDescent="0.25">
      <c r="B149" s="3">
        <v>146</v>
      </c>
      <c r="C149" s="3">
        <v>6.7</v>
      </c>
      <c r="D149" s="3">
        <v>3</v>
      </c>
      <c r="E149" s="3">
        <v>5.2</v>
      </c>
      <c r="F149" s="3">
        <v>2.2999999999999998</v>
      </c>
      <c r="G149" s="3" t="s">
        <v>13</v>
      </c>
    </row>
    <row r="150" spans="2:7" x14ac:dyDescent="0.25">
      <c r="B150" s="3">
        <v>147</v>
      </c>
      <c r="C150" s="3">
        <v>6.3</v>
      </c>
      <c r="D150" s="3">
        <v>2.5</v>
      </c>
      <c r="E150" s="3">
        <v>5</v>
      </c>
      <c r="F150" s="3">
        <v>1.9</v>
      </c>
      <c r="G150" s="3" t="s">
        <v>13</v>
      </c>
    </row>
    <row r="151" spans="2:7" x14ac:dyDescent="0.25">
      <c r="B151" s="3">
        <v>148</v>
      </c>
      <c r="C151" s="3">
        <v>6.5</v>
      </c>
      <c r="D151" s="3">
        <v>3</v>
      </c>
      <c r="E151" s="3">
        <v>5.2</v>
      </c>
      <c r="F151" s="3">
        <v>2</v>
      </c>
      <c r="G151" s="3" t="s">
        <v>13</v>
      </c>
    </row>
    <row r="152" spans="2:7" x14ac:dyDescent="0.25">
      <c r="B152" s="3">
        <v>149</v>
      </c>
      <c r="C152" s="3">
        <v>6.2</v>
      </c>
      <c r="D152" s="3">
        <v>3.4</v>
      </c>
      <c r="E152" s="3">
        <v>5.4</v>
      </c>
      <c r="F152" s="3">
        <v>2.2999999999999998</v>
      </c>
      <c r="G152" s="3" t="s">
        <v>13</v>
      </c>
    </row>
    <row r="153" spans="2:7" x14ac:dyDescent="0.25">
      <c r="B153" s="17">
        <v>150</v>
      </c>
      <c r="C153" s="17">
        <v>5.9</v>
      </c>
      <c r="D153" s="17">
        <v>3</v>
      </c>
      <c r="E153" s="17">
        <v>5.0999999999999996</v>
      </c>
      <c r="F153" s="17">
        <v>1.8</v>
      </c>
      <c r="G153" s="17" t="s">
        <v>13</v>
      </c>
    </row>
  </sheetData>
  <autoFilter ref="B3:G153" xr:uid="{00000000-0009-0000-0000-000000000000}">
    <sortState xmlns:xlrd2="http://schemas.microsoft.com/office/spreadsheetml/2017/richdata2" ref="B3:B153">
      <sortCondition ref="B3:B153"/>
    </sortState>
  </autoFilter>
  <pageMargins left="0.70078740157480324" right="0.70078740157480324" top="0.75196850393700787" bottom="0.75196850393700787" header="0.3" footer="0.3"/>
  <pageSetup paperSize="5" scale="7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207A-281E-44F8-99E2-877DC736B145}">
  <dimension ref="B1:F132"/>
  <sheetViews>
    <sheetView tabSelected="1" workbookViewId="0">
      <selection activeCell="F85" sqref="F85"/>
    </sheetView>
  </sheetViews>
  <sheetFormatPr defaultColWidth="9.140625" defaultRowHeight="15" x14ac:dyDescent="0.25"/>
  <cols>
    <col min="1" max="2" width="9.140625" style="20"/>
    <col min="3" max="3" width="12.5703125" style="20" customWidth="1"/>
    <col min="4" max="4" width="11.5703125" style="20" customWidth="1"/>
    <col min="5" max="5" width="12.5703125" style="20" customWidth="1"/>
    <col min="6" max="6" width="13.140625" style="20" customWidth="1"/>
    <col min="7" max="16384" width="9.140625" style="20"/>
  </cols>
  <sheetData>
    <row r="1" spans="2:6" ht="15.75" thickBot="1" x14ac:dyDescent="0.3"/>
    <row r="2" spans="2:6" ht="15.75" thickBot="1" x14ac:dyDescent="0.3">
      <c r="B2" s="47" t="s">
        <v>5</v>
      </c>
      <c r="C2" s="48"/>
      <c r="D2" s="48"/>
      <c r="E2" s="48"/>
      <c r="F2" s="49"/>
    </row>
    <row r="3" spans="2:6" ht="15.75" thickBot="1" x14ac:dyDescent="0.3"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</row>
    <row r="4" spans="2:6" x14ac:dyDescent="0.25">
      <c r="B4" s="21" t="s">
        <v>6</v>
      </c>
      <c r="C4" s="21">
        <f>COUNTIF('[1]Tablas de datos'!G:G,"setosa")</f>
        <v>50</v>
      </c>
      <c r="D4" s="38">
        <f>C4/C7</f>
        <v>0.33333333333333331</v>
      </c>
      <c r="E4" s="21">
        <f>C4</f>
        <v>50</v>
      </c>
      <c r="F4" s="4">
        <f>D4</f>
        <v>0.33333333333333331</v>
      </c>
    </row>
    <row r="5" spans="2:6" x14ac:dyDescent="0.25">
      <c r="B5" s="21" t="s">
        <v>12</v>
      </c>
      <c r="C5" s="21">
        <f>COUNTIF('[1]Tablas de datos'!G:G,"versicolor")</f>
        <v>50</v>
      </c>
      <c r="D5" s="38">
        <f>C5/C7</f>
        <v>0.33333333333333331</v>
      </c>
      <c r="E5" s="21">
        <f>SUM(C4:C5)</f>
        <v>100</v>
      </c>
      <c r="F5" s="4">
        <f>SUM(D4:D5)</f>
        <v>0.66666666666666663</v>
      </c>
    </row>
    <row r="6" spans="2:6" ht="15.75" thickBot="1" x14ac:dyDescent="0.3">
      <c r="B6" s="21" t="s">
        <v>13</v>
      </c>
      <c r="C6" s="21">
        <f>COUNTIF('[1]Tablas de datos'!G:G,"virginica")</f>
        <v>50</v>
      </c>
      <c r="D6" s="39">
        <f>C6/C7</f>
        <v>0.33333333333333331</v>
      </c>
      <c r="E6" s="5">
        <f>SUM(C4:C6)</f>
        <v>150</v>
      </c>
      <c r="F6" s="6">
        <f>SUM(D4:D6)</f>
        <v>1</v>
      </c>
    </row>
    <row r="7" spans="2:6" ht="15.75" thickBot="1" x14ac:dyDescent="0.3">
      <c r="B7" s="5" t="s">
        <v>14</v>
      </c>
      <c r="C7" s="5">
        <f>SUM(C4:C6)</f>
        <v>150</v>
      </c>
    </row>
    <row r="9" spans="2:6" ht="15.75" thickBot="1" x14ac:dyDescent="0.3"/>
    <row r="10" spans="2:6" ht="15.75" thickBot="1" x14ac:dyDescent="0.3">
      <c r="B10" s="47" t="s">
        <v>15</v>
      </c>
      <c r="C10" s="48"/>
      <c r="D10" s="48"/>
      <c r="E10" s="48"/>
      <c r="F10" s="49"/>
    </row>
    <row r="11" spans="2:6" ht="15.75" thickBot="1" x14ac:dyDescent="0.3">
      <c r="B11" s="10" t="s">
        <v>7</v>
      </c>
      <c r="C11" s="1" t="s">
        <v>0</v>
      </c>
      <c r="D11" s="1" t="s">
        <v>1</v>
      </c>
      <c r="E11" s="1" t="s">
        <v>2</v>
      </c>
      <c r="F11" s="1" t="s">
        <v>3</v>
      </c>
    </row>
    <row r="12" spans="2:6" x14ac:dyDescent="0.25">
      <c r="B12" s="21" t="s">
        <v>6</v>
      </c>
      <c r="C12" s="7">
        <f>AVERAGEIF('[1]Tablas de datos'!G:G,"setosa",'[1]Tablas de datos'!C:C)</f>
        <v>5.0059999999999993</v>
      </c>
      <c r="D12" s="7">
        <f>AVERAGEIF('[1]Tablas de datos'!G:G,"setosa",'[1]Tablas de datos'!D:D)</f>
        <v>3.4280000000000008</v>
      </c>
      <c r="E12" s="7">
        <f>AVERAGEIF('[1]Tablas de datos'!G:G,"setosa",'[1]Tablas de datos'!E:E)</f>
        <v>1.4620000000000002</v>
      </c>
      <c r="F12" s="7">
        <f>AVERAGEIF('[1]Tablas de datos'!G:G,"setosa",'[1]Tablas de datos'!F:F)</f>
        <v>0.24599999999999991</v>
      </c>
    </row>
    <row r="13" spans="2:6" x14ac:dyDescent="0.25">
      <c r="B13" s="21" t="s">
        <v>12</v>
      </c>
      <c r="C13" s="7">
        <f>AVERAGEIF('[1]Tablas de datos'!G:G,"versicolor",'[1]Tablas de datos'!C:C)</f>
        <v>5.9359999999999999</v>
      </c>
      <c r="D13" s="7">
        <f>AVERAGEIF('[1]Tablas de datos'!G:G,"versicolor",'[1]Tablas de datos'!D:D)</f>
        <v>2.7700000000000005</v>
      </c>
      <c r="E13" s="7">
        <f>AVERAGEIF('[1]Tablas de datos'!G:G,"versicolor",'[1]Tablas de datos'!E:E)</f>
        <v>4.26</v>
      </c>
      <c r="F13" s="7">
        <f>AVERAGEIF('[1]Tablas de datos'!G:G,"versicolor",'[1]Tablas de datos'!F:F)</f>
        <v>1.3259999999999998</v>
      </c>
    </row>
    <row r="14" spans="2:6" x14ac:dyDescent="0.25">
      <c r="B14" s="21" t="s">
        <v>13</v>
      </c>
      <c r="C14" s="7">
        <f>AVERAGEIF('[1]Tablas de datos'!G:G,"virginica",'[1]Tablas de datos'!C:C)</f>
        <v>6.5879999999999983</v>
      </c>
      <c r="D14" s="7">
        <f>AVERAGEIF('[1]Tablas de datos'!G:G,"virginica",'[1]Tablas de datos'!D:D)</f>
        <v>2.9739999999999998</v>
      </c>
      <c r="E14" s="7">
        <f>AVERAGEIF('[1]Tablas de datos'!G:G,"virginica",'[1]Tablas de datos'!E:E)</f>
        <v>5.5519999999999996</v>
      </c>
      <c r="F14" s="7">
        <f>AVERAGEIF('[1]Tablas de datos'!G:G,"virginica",'[1]Tablas de datos'!F:F)</f>
        <v>2.0259999999999998</v>
      </c>
    </row>
    <row r="15" spans="2:6" ht="15.75" thickBot="1" x14ac:dyDescent="0.3">
      <c r="B15" s="5" t="s">
        <v>16</v>
      </c>
      <c r="C15" s="8">
        <f>AVERAGE('[1]Tablas de datos'!C:C)</f>
        <v>5.8433333333333346</v>
      </c>
      <c r="D15" s="8">
        <f>AVERAGE('[1]Tablas de datos'!D:D)</f>
        <v>3.0573333333333341</v>
      </c>
      <c r="E15" s="8">
        <f>AVERAGE('[1]Tablas de datos'!E:E)</f>
        <v>3.7580000000000027</v>
      </c>
      <c r="F15" s="8">
        <f>AVERAGE('[1]Tablas de datos'!F:F)</f>
        <v>1.199333333333334</v>
      </c>
    </row>
    <row r="16" spans="2:6" ht="15.75" thickBot="1" x14ac:dyDescent="0.3">
      <c r="B16" s="47" t="s">
        <v>17</v>
      </c>
      <c r="C16" s="48"/>
      <c r="D16" s="48"/>
      <c r="E16" s="48"/>
      <c r="F16" s="49"/>
    </row>
    <row r="17" spans="2:6" ht="15.75" thickBot="1" x14ac:dyDescent="0.3">
      <c r="B17" s="10" t="s">
        <v>7</v>
      </c>
      <c r="C17" s="1" t="s">
        <v>0</v>
      </c>
      <c r="D17" s="1" t="s">
        <v>1</v>
      </c>
      <c r="E17" s="1" t="s">
        <v>2</v>
      </c>
      <c r="F17" s="1" t="s">
        <v>3</v>
      </c>
    </row>
    <row r="18" spans="2:6" x14ac:dyDescent="0.25">
      <c r="B18" s="21" t="s">
        <v>6</v>
      </c>
      <c r="C18" s="9">
        <f>MEDIAN('[1]Est.D Agrupadas'!C:C)</f>
        <v>5</v>
      </c>
      <c r="D18" s="9">
        <f>MEDIAN('[1]Est.D Agrupadas'!D:D)</f>
        <v>3.4</v>
      </c>
      <c r="E18" s="9">
        <f>MEDIAN('[1]Est.D Agrupadas'!E:E)</f>
        <v>1.5</v>
      </c>
      <c r="F18" s="9">
        <f>MEDIAN('[1]Est.D Agrupadas'!F:F)</f>
        <v>0.2</v>
      </c>
    </row>
    <row r="19" spans="2:6" x14ac:dyDescent="0.25">
      <c r="B19" s="21" t="s">
        <v>12</v>
      </c>
      <c r="C19" s="7">
        <f>MEDIAN('[1]Est.D Agrupadas'!J:J)</f>
        <v>5.9</v>
      </c>
      <c r="D19" s="7">
        <f>MEDIAN('[1]Est.D Agrupadas'!K:K)</f>
        <v>2.8</v>
      </c>
      <c r="E19" s="7">
        <f>MEDIAN('[1]Est.D Agrupadas'!L:L)</f>
        <v>4.2</v>
      </c>
      <c r="F19" s="7">
        <f>MEDIAN('[1]Est.D Agrupadas'!M:M)</f>
        <v>1.3</v>
      </c>
    </row>
    <row r="20" spans="2:6" x14ac:dyDescent="0.25">
      <c r="B20" s="21" t="s">
        <v>13</v>
      </c>
      <c r="C20" s="7">
        <f>MEDIAN('[1]Est.D Agrupadas'!Q:Q)</f>
        <v>6.5</v>
      </c>
      <c r="D20" s="7">
        <f>MEDIAN('[1]Est.D Agrupadas'!R:R)</f>
        <v>3</v>
      </c>
      <c r="E20" s="7">
        <f>MEDIAN('[1]Est.D Agrupadas'!S:S)</f>
        <v>5.55</v>
      </c>
      <c r="F20" s="7">
        <f>MEDIAN('[1]Est.D Agrupadas'!T:T)</f>
        <v>2</v>
      </c>
    </row>
    <row r="21" spans="2:6" ht="15.75" thickBot="1" x14ac:dyDescent="0.3">
      <c r="B21" s="5" t="s">
        <v>16</v>
      </c>
      <c r="C21" s="8">
        <f>MEDIAN('[1]Tablas de datos'!C:C)</f>
        <v>5.8</v>
      </c>
      <c r="D21" s="8">
        <f>MEDIAN('[1]Tablas de datos'!D:D)</f>
        <v>3</v>
      </c>
      <c r="E21" s="8">
        <f>MEDIAN('[1]Tablas de datos'!E:E)</f>
        <v>4.3499999999999996</v>
      </c>
      <c r="F21" s="8">
        <f>MEDIAN('[1]Tablas de datos'!F:F)</f>
        <v>1.3</v>
      </c>
    </row>
    <row r="22" spans="2:6" ht="15.75" thickBot="1" x14ac:dyDescent="0.3">
      <c r="B22" s="47" t="s">
        <v>18</v>
      </c>
      <c r="C22" s="48"/>
      <c r="D22" s="48"/>
      <c r="E22" s="48"/>
      <c r="F22" s="49"/>
    </row>
    <row r="23" spans="2:6" ht="15.75" thickBot="1" x14ac:dyDescent="0.3">
      <c r="B23" s="10" t="s">
        <v>7</v>
      </c>
      <c r="C23" s="1" t="s">
        <v>0</v>
      </c>
      <c r="D23" s="1" t="s">
        <v>1</v>
      </c>
      <c r="E23" s="1" t="s">
        <v>2</v>
      </c>
      <c r="F23" s="1" t="s">
        <v>3</v>
      </c>
    </row>
    <row r="24" spans="2:6" x14ac:dyDescent="0.25">
      <c r="B24" s="21" t="s">
        <v>6</v>
      </c>
      <c r="C24" s="7">
        <f>_xlfn.MAXIFS('[1]Tablas de datos'!C:C,'[1]Tablas de datos'!$G:$G,"setosa")</f>
        <v>5.8</v>
      </c>
      <c r="D24" s="7">
        <f>_xlfn.MAXIFS('[1]Tablas de datos'!D:D,'[1]Tablas de datos'!$G:$G,"setosa")</f>
        <v>4.4000000000000004</v>
      </c>
      <c r="E24" s="7">
        <f>_xlfn.MAXIFS('[1]Tablas de datos'!E:E,'[1]Tablas de datos'!$G:$G,"setosa")</f>
        <v>1.9</v>
      </c>
      <c r="F24" s="7">
        <f>_xlfn.MAXIFS('[1]Tablas de datos'!F:F,'[1]Tablas de datos'!$G:$G,"setosa")</f>
        <v>0.6</v>
      </c>
    </row>
    <row r="25" spans="2:6" x14ac:dyDescent="0.25">
      <c r="B25" s="21" t="s">
        <v>12</v>
      </c>
      <c r="C25" s="7">
        <f>_xlfn.MAXIFS('[1]Tablas de datos'!C:C,'[1]Tablas de datos'!$G:$G,"versicolor")</f>
        <v>7</v>
      </c>
      <c r="D25" s="7">
        <f>_xlfn.MAXIFS('[1]Tablas de datos'!D:D,'[1]Tablas de datos'!$G:$G,"versicolor")</f>
        <v>3.4</v>
      </c>
      <c r="E25" s="7">
        <f>_xlfn.MAXIFS('[1]Tablas de datos'!E:E,'[1]Tablas de datos'!$G:$G,"versicolor")</f>
        <v>5.0999999999999996</v>
      </c>
      <c r="F25" s="7">
        <f>_xlfn.MAXIFS('[1]Tablas de datos'!F:F,'[1]Tablas de datos'!$G:$G,"versicolor")</f>
        <v>1.8</v>
      </c>
    </row>
    <row r="26" spans="2:6" x14ac:dyDescent="0.25">
      <c r="B26" s="21" t="s">
        <v>13</v>
      </c>
      <c r="C26" s="7">
        <f>_xlfn.MAXIFS('[1]Tablas de datos'!C:C,'[1]Tablas de datos'!$G:$G,"virginica")</f>
        <v>7.9</v>
      </c>
      <c r="D26" s="7">
        <f>_xlfn.MAXIFS('[1]Tablas de datos'!D:D,'[1]Tablas de datos'!$G:$G,"virginica")</f>
        <v>3.8</v>
      </c>
      <c r="E26" s="7">
        <f>_xlfn.MAXIFS('[1]Tablas de datos'!E:E,'[1]Tablas de datos'!$G:$G,"virginica")</f>
        <v>6.9</v>
      </c>
      <c r="F26" s="7">
        <f>_xlfn.MAXIFS('[1]Tablas de datos'!F:F,'[1]Tablas de datos'!$G:$G,"virginica")</f>
        <v>2.5</v>
      </c>
    </row>
    <row r="27" spans="2:6" ht="15.75" thickBot="1" x14ac:dyDescent="0.3">
      <c r="B27" s="5" t="s">
        <v>16</v>
      </c>
      <c r="C27" s="8">
        <f>MAX('[1]Tablas de datos'!C:C)</f>
        <v>7.9</v>
      </c>
      <c r="D27" s="8">
        <f>MAX('[1]Tablas de datos'!D:D)</f>
        <v>4.4000000000000004</v>
      </c>
      <c r="E27" s="8">
        <f>MAX('[1]Tablas de datos'!E:E)</f>
        <v>6.9</v>
      </c>
      <c r="F27" s="8">
        <f>MAX('[1]Tablas de datos'!F:F)</f>
        <v>2.5</v>
      </c>
    </row>
    <row r="28" spans="2:6" ht="15.75" thickBot="1" x14ac:dyDescent="0.3">
      <c r="B28" s="47" t="s">
        <v>19</v>
      </c>
      <c r="C28" s="48"/>
      <c r="D28" s="48"/>
      <c r="E28" s="48"/>
      <c r="F28" s="49"/>
    </row>
    <row r="29" spans="2:6" ht="15.75" thickBot="1" x14ac:dyDescent="0.3">
      <c r="B29" s="10" t="s">
        <v>7</v>
      </c>
      <c r="C29" s="1" t="s">
        <v>0</v>
      </c>
      <c r="D29" s="1" t="s">
        <v>1</v>
      </c>
      <c r="E29" s="1" t="s">
        <v>2</v>
      </c>
      <c r="F29" s="1" t="s">
        <v>3</v>
      </c>
    </row>
    <row r="30" spans="2:6" x14ac:dyDescent="0.25">
      <c r="B30" s="21" t="s">
        <v>6</v>
      </c>
      <c r="C30" s="7">
        <f>_xlfn.MINIFS('[1]Tablas de datos'!C:C,'[1]Tablas de datos'!$G:$G,"setosa")</f>
        <v>4.3</v>
      </c>
      <c r="D30" s="7">
        <f>_xlfn.MINIFS('[1]Tablas de datos'!D:D,'[1]Tablas de datos'!$G:$G,"setosa")</f>
        <v>2.2999999999999998</v>
      </c>
      <c r="E30" s="7">
        <f>_xlfn.MINIFS('[1]Tablas de datos'!E:E,'[1]Tablas de datos'!$G:$G,"setosa")</f>
        <v>1</v>
      </c>
      <c r="F30" s="7">
        <f>_xlfn.MINIFS('[1]Tablas de datos'!F:F,'[1]Tablas de datos'!$G:$G,"setosa")</f>
        <v>0.1</v>
      </c>
    </row>
    <row r="31" spans="2:6" x14ac:dyDescent="0.25">
      <c r="B31" s="21" t="s">
        <v>12</v>
      </c>
      <c r="C31" s="7">
        <f>_xlfn.MINIFS('[1]Tablas de datos'!C:C,'[1]Tablas de datos'!$G:$G,"versicolor")</f>
        <v>4.9000000000000004</v>
      </c>
      <c r="D31" s="7">
        <f>_xlfn.MINIFS('[1]Tablas de datos'!D:D,'[1]Tablas de datos'!$G:$G,"versicolor")</f>
        <v>2</v>
      </c>
      <c r="E31" s="7">
        <f>_xlfn.MINIFS('[1]Tablas de datos'!E:E,'[1]Tablas de datos'!$G:$G,"versicolor")</f>
        <v>3</v>
      </c>
      <c r="F31" s="7">
        <f>_xlfn.MINIFS('[1]Tablas de datos'!F:F,'[1]Tablas de datos'!$G:$G,"versicolor")</f>
        <v>1</v>
      </c>
    </row>
    <row r="32" spans="2:6" x14ac:dyDescent="0.25">
      <c r="B32" s="21" t="s">
        <v>13</v>
      </c>
      <c r="C32" s="7">
        <f>_xlfn.MINIFS('[1]Tablas de datos'!C:C,'[1]Tablas de datos'!$G:$G,"virginica")</f>
        <v>4.9000000000000004</v>
      </c>
      <c r="D32" s="7">
        <f>_xlfn.MINIFS('[1]Tablas de datos'!D:D,'[1]Tablas de datos'!$G:$G,"virginica")</f>
        <v>2.2000000000000002</v>
      </c>
      <c r="E32" s="7">
        <f>_xlfn.MINIFS('[1]Tablas de datos'!E:E,'[1]Tablas de datos'!$G:$G,"virginica")</f>
        <v>4.5</v>
      </c>
      <c r="F32" s="7">
        <f>_xlfn.MINIFS('[1]Tablas de datos'!F:F,'[1]Tablas de datos'!$G:$G,"virginica")</f>
        <v>1.4</v>
      </c>
    </row>
    <row r="33" spans="2:6" ht="15.75" thickBot="1" x14ac:dyDescent="0.3">
      <c r="B33" s="5" t="s">
        <v>16</v>
      </c>
      <c r="C33" s="8">
        <f>MIN('[1]Tablas de datos'!C:C)</f>
        <v>4.3</v>
      </c>
      <c r="D33" s="8">
        <f>MIN('[1]Tablas de datos'!D:D)</f>
        <v>2</v>
      </c>
      <c r="E33" s="8">
        <f>MIN('[1]Tablas de datos'!E:E)</f>
        <v>1</v>
      </c>
      <c r="F33" s="8">
        <f>MIN('[1]Tablas de datos'!F:F)</f>
        <v>0.1</v>
      </c>
    </row>
    <row r="34" spans="2:6" ht="15.75" thickBot="1" x14ac:dyDescent="0.3">
      <c r="B34" s="47" t="s">
        <v>20</v>
      </c>
      <c r="C34" s="48"/>
      <c r="D34" s="48"/>
      <c r="E34" s="48"/>
      <c r="F34" s="49"/>
    </row>
    <row r="35" spans="2:6" ht="15.75" thickBot="1" x14ac:dyDescent="0.3">
      <c r="B35" s="10" t="s">
        <v>7</v>
      </c>
      <c r="C35" s="1" t="s">
        <v>0</v>
      </c>
      <c r="D35" s="1" t="s">
        <v>1</v>
      </c>
      <c r="E35" s="1" t="s">
        <v>2</v>
      </c>
      <c r="F35" s="1" t="s">
        <v>3</v>
      </c>
    </row>
    <row r="36" spans="2:6" x14ac:dyDescent="0.25">
      <c r="B36" s="19" t="s">
        <v>6</v>
      </c>
      <c r="C36" s="9">
        <f>_xlfn.STDEV.S('[1]Est.D Agrupadas'!C:C)</f>
        <v>2.758155063595721</v>
      </c>
      <c r="D36" s="9">
        <f>_xlfn.STDEV.S('[1]Est.D Agrupadas'!D:D)</f>
        <v>0.37906436909629143</v>
      </c>
      <c r="E36" s="9">
        <f>_xlfn.STDEV.S('[1]Est.D Agrupadas'!E:E)</f>
        <v>2.2782863818417582</v>
      </c>
      <c r="F36" s="9">
        <f>_xlfn.STDEV.S('[1]Est.D Agrupadas'!F:F)</f>
        <v>0.10538558938004595</v>
      </c>
    </row>
    <row r="37" spans="2:6" x14ac:dyDescent="0.25">
      <c r="B37" s="21" t="s">
        <v>12</v>
      </c>
      <c r="C37" s="7">
        <f>_xlfn.STDEV.S('[1]Est.D Agrupadas'!J:J)</f>
        <v>0.51617114706386347</v>
      </c>
      <c r="D37" s="7">
        <f>_xlfn.STDEV.S('[1]Est.D Agrupadas'!K:K)</f>
        <v>0.31379832337840918</v>
      </c>
      <c r="E37" s="7">
        <f>_xlfn.STDEV.S('[1]Est.D Agrupadas'!L:L)</f>
        <v>2.0956151036319635</v>
      </c>
      <c r="F37" s="7">
        <f>_xlfn.STDEV.S('[1]Est.D Agrupadas'!M:M)</f>
        <v>0.19775268000454274</v>
      </c>
    </row>
    <row r="38" spans="2:6" x14ac:dyDescent="0.25">
      <c r="B38" s="21" t="s">
        <v>13</v>
      </c>
      <c r="C38" s="7">
        <f>_xlfn.STDEV.S('[1]Est.D Agrupadas'!Q:Q)</f>
        <v>0.635879593274432</v>
      </c>
      <c r="D38" s="7">
        <f>_xlfn.STDEV.S('[1]Est.D Agrupadas'!R:R)</f>
        <v>2.8585934617607132</v>
      </c>
      <c r="E38" s="7">
        <f>_xlfn.STDEV.S('[1]Est.D Agrupadas'!S:S)</f>
        <v>0.55189469566398353</v>
      </c>
      <c r="F38" s="7">
        <f>_xlfn.STDEV.S('[1]Est.D Agrupadas'!T:T)</f>
        <v>0.27465005563666967</v>
      </c>
    </row>
    <row r="39" spans="2:6" ht="15.75" thickBot="1" x14ac:dyDescent="0.3">
      <c r="B39" s="21" t="s">
        <v>16</v>
      </c>
      <c r="C39" s="7">
        <f>_xlfn.STDEV.S('[1]Tablas de datos'!C:C)</f>
        <v>0.82806612797784351</v>
      </c>
      <c r="D39" s="7">
        <f>_xlfn.STDEV.S('[1]Tablas de datos'!D:D)</f>
        <v>0.43586628493668389</v>
      </c>
      <c r="E39" s="7">
        <f>_xlfn.STDEV.S('[1]Tablas de datos'!E:E)</f>
        <v>1.7652982332594624</v>
      </c>
      <c r="F39" s="7">
        <f>_xlfn.STDEV.S('[1]Tablas de datos'!F:F)</f>
        <v>0.76223766896034584</v>
      </c>
    </row>
    <row r="40" spans="2:6" ht="15.75" thickBot="1" x14ac:dyDescent="0.3">
      <c r="B40" s="47" t="s">
        <v>30</v>
      </c>
      <c r="C40" s="48"/>
      <c r="D40" s="48"/>
      <c r="E40" s="48"/>
      <c r="F40" s="49"/>
    </row>
    <row r="41" spans="2:6" ht="15.75" thickBot="1" x14ac:dyDescent="0.3">
      <c r="B41" s="22" t="s">
        <v>21</v>
      </c>
      <c r="C41" s="10" t="s">
        <v>6</v>
      </c>
      <c r="D41" s="10" t="s">
        <v>12</v>
      </c>
      <c r="E41" s="10" t="s">
        <v>13</v>
      </c>
      <c r="F41" s="10" t="s">
        <v>22</v>
      </c>
    </row>
    <row r="42" spans="2:6" x14ac:dyDescent="0.25">
      <c r="B42" s="50" t="s">
        <v>0</v>
      </c>
      <c r="C42" s="9">
        <f>PERCENTILE('[1]Est.D Agrupadas'!$C$3:$C$52,0.25)</f>
        <v>4.8</v>
      </c>
      <c r="D42" s="9">
        <f>PERCENTILE('[1]Est.D Agrupadas'!$J$3:$J$52,0.25)</f>
        <v>5.6</v>
      </c>
      <c r="E42" s="9">
        <f>PERCENTILE('[1]Est.D Agrupadas'!$Q$3:$Q$52,0.25)</f>
        <v>6.2249999999999996</v>
      </c>
      <c r="F42" s="12">
        <v>0.25</v>
      </c>
    </row>
    <row r="43" spans="2:6" x14ac:dyDescent="0.25">
      <c r="B43" s="51"/>
      <c r="C43" s="7">
        <f>PERCENTILE('[1]Est.D Agrupadas'!$C$3:$C$52,0.5)</f>
        <v>5</v>
      </c>
      <c r="D43" s="7">
        <f>PERCENTILE('[1]Est.D Agrupadas'!$J$3:$J$52,0.5)</f>
        <v>5.9</v>
      </c>
      <c r="E43" s="7">
        <f>PERCENTILE('[1]Est.D Agrupadas'!$Q$3:$Q$52,0.5)</f>
        <v>6.5</v>
      </c>
      <c r="F43" s="13">
        <v>0.5</v>
      </c>
    </row>
    <row r="44" spans="2:6" ht="15.75" thickBot="1" x14ac:dyDescent="0.3">
      <c r="B44" s="52"/>
      <c r="C44" s="8">
        <f>PERCENTILE('[1]Est.D Agrupadas'!$C$3:$C$52,0.75)</f>
        <v>5.2</v>
      </c>
      <c r="D44" s="8">
        <f>PERCENTILE('[1]Est.D Agrupadas'!$J$3:$J$52,0.75)</f>
        <v>6.3</v>
      </c>
      <c r="E44" s="8">
        <f>PERCENTILE('[1]Est.D Agrupadas'!$Q$3:$Q$52,0.75)</f>
        <v>6.9</v>
      </c>
      <c r="F44" s="11">
        <v>0.75</v>
      </c>
    </row>
    <row r="45" spans="2:6" x14ac:dyDescent="0.25">
      <c r="B45" s="50" t="s">
        <v>1</v>
      </c>
      <c r="C45" s="9">
        <f>PERCENTILE('[1]Est.D Agrupadas'!$D$3:$D$52,0.25)</f>
        <v>3.2</v>
      </c>
      <c r="D45" s="9">
        <f>PERCENTILE('[1]Est.D Agrupadas'!$K$3:$K$52,0.25)</f>
        <v>2.5249999999999999</v>
      </c>
      <c r="E45" s="9">
        <f>PERCENTILE('[1]Est.D Agrupadas'!$R$3:$R$52,0.25)</f>
        <v>2.8</v>
      </c>
      <c r="F45" s="12">
        <v>0.25</v>
      </c>
    </row>
    <row r="46" spans="2:6" x14ac:dyDescent="0.25">
      <c r="B46" s="51"/>
      <c r="C46" s="7">
        <f>PERCENTILE('[1]Est.D Agrupadas'!$D$3:$D$52,0.5)</f>
        <v>3.4</v>
      </c>
      <c r="D46" s="7">
        <f>PERCENTILE('[1]Est.D Agrupadas'!$K$3:$K$52,0.5)</f>
        <v>2.8</v>
      </c>
      <c r="E46" s="7">
        <f>PERCENTILE('[1]Est.D Agrupadas'!$R$3:$R$52,0.5)</f>
        <v>3</v>
      </c>
      <c r="F46" s="13">
        <v>0.5</v>
      </c>
    </row>
    <row r="47" spans="2:6" ht="15.75" thickBot="1" x14ac:dyDescent="0.3">
      <c r="B47" s="52"/>
      <c r="C47" s="8">
        <f>PERCENTILE('[1]Est.D Agrupadas'!$D$3:$D$52,0.75)</f>
        <v>3.6750000000000003</v>
      </c>
      <c r="D47" s="8">
        <f>PERCENTILE('[1]Est.D Agrupadas'!$K$3:$K$52,0.75)</f>
        <v>3</v>
      </c>
      <c r="E47" s="8">
        <f>PERCENTILE('[1]Est.D Agrupadas'!$R$3:$R$52,0.75)</f>
        <v>3.1750000000000003</v>
      </c>
      <c r="F47" s="11">
        <v>0.75</v>
      </c>
    </row>
    <row r="48" spans="2:6" x14ac:dyDescent="0.25">
      <c r="B48" s="50" t="s">
        <v>2</v>
      </c>
      <c r="C48" s="9">
        <f>PERCENTILE('[1]Est.D Agrupadas'!$E$3:$E$52,0.25)</f>
        <v>1.4</v>
      </c>
      <c r="D48" s="9">
        <f>PERCENTILE('[1]Est.D Agrupadas'!$L$3:$L$52,0.25)</f>
        <v>4</v>
      </c>
      <c r="E48" s="9">
        <f>PERCENTILE('[1]Est.D Agrupadas'!$S$3:$S$52,0.25)</f>
        <v>5.0999999999999996</v>
      </c>
      <c r="F48" s="12">
        <v>0.25</v>
      </c>
    </row>
    <row r="49" spans="2:6" x14ac:dyDescent="0.25">
      <c r="B49" s="51"/>
      <c r="C49" s="7">
        <f>PERCENTILE('[1]Est.D Agrupadas'!$E$3:$E$52,0.5)</f>
        <v>1.5</v>
      </c>
      <c r="D49" s="7">
        <f>PERCENTILE('[1]Est.D Agrupadas'!$L$3:$L$52,0.5)</f>
        <v>4.3499999999999996</v>
      </c>
      <c r="E49" s="7">
        <f>PERCENTILE('[1]Est.D Agrupadas'!$S$3:$S$52,0.5)</f>
        <v>5.55</v>
      </c>
      <c r="F49" s="13">
        <v>0.5</v>
      </c>
    </row>
    <row r="50" spans="2:6" ht="15.75" thickBot="1" x14ac:dyDescent="0.3">
      <c r="B50" s="52"/>
      <c r="C50" s="8">
        <f>PERCENTILE('[1]Est.D Agrupadas'!$E$3:$E$52,0.75)</f>
        <v>1.5750000000000002</v>
      </c>
      <c r="D50" s="8">
        <f>PERCENTILE('[1]Est.D Agrupadas'!$L$3:$L$52,0.75)</f>
        <v>4.5999999999999996</v>
      </c>
      <c r="E50" s="8">
        <f>PERCENTILE('[1]Est.D Agrupadas'!$S$3:$S$52,0.75)</f>
        <v>5.875</v>
      </c>
      <c r="F50" s="11">
        <v>0.75</v>
      </c>
    </row>
    <row r="51" spans="2:6" x14ac:dyDescent="0.25">
      <c r="B51" s="50" t="s">
        <v>3</v>
      </c>
      <c r="C51" s="9">
        <f>PERCENTILE('[1]Est.D Agrupadas'!$F$3:$F$52,0.25)</f>
        <v>0.2</v>
      </c>
      <c r="D51" s="9">
        <f>PERCENTILE('[1]Est.D Agrupadas'!$M$3:$M$52,0.25)</f>
        <v>1.2</v>
      </c>
      <c r="E51" s="9">
        <f>PERCENTILE('[1]Est.D Agrupadas'!$T$3:$T$52,0.25)</f>
        <v>1.8</v>
      </c>
      <c r="F51" s="12">
        <v>0.25</v>
      </c>
    </row>
    <row r="52" spans="2:6" x14ac:dyDescent="0.25">
      <c r="B52" s="51"/>
      <c r="C52" s="7">
        <f>PERCENTILE('[1]Est.D Agrupadas'!$F$3:$F$52,0.5)</f>
        <v>0.2</v>
      </c>
      <c r="D52" s="7">
        <f>PERCENTILE('[1]Est.D Agrupadas'!$M$3:$M$52,0.5)</f>
        <v>1.3</v>
      </c>
      <c r="E52" s="7">
        <f>PERCENTILE('[1]Est.D Agrupadas'!$T$3:$T$52,0.5)</f>
        <v>2</v>
      </c>
      <c r="F52" s="13">
        <v>0.5</v>
      </c>
    </row>
    <row r="53" spans="2:6" ht="15.75" thickBot="1" x14ac:dyDescent="0.3">
      <c r="B53" s="52"/>
      <c r="C53" s="8">
        <f>PERCENTILE('[1]Est.D Agrupadas'!$F$3:$F$52,0.75)</f>
        <v>0.3</v>
      </c>
      <c r="D53" s="8">
        <f>PERCENTILE('[1]Est.D Agrupadas'!$M$3:$M$52,0.75)</f>
        <v>1.5</v>
      </c>
      <c r="E53" s="8">
        <f>PERCENTILE('[1]Est.D Agrupadas'!$T$3:$T$52,0.75)</f>
        <v>2.2999999999999998</v>
      </c>
      <c r="F53" s="11">
        <v>0.75</v>
      </c>
    </row>
    <row r="54" spans="2:6" ht="15.75" thickBot="1" x14ac:dyDescent="0.3">
      <c r="B54" s="47" t="s">
        <v>31</v>
      </c>
      <c r="C54" s="48"/>
      <c r="D54" s="48"/>
      <c r="E54" s="48"/>
      <c r="F54" s="49"/>
    </row>
    <row r="55" spans="2:6" x14ac:dyDescent="0.25">
      <c r="B55" s="53" t="s">
        <v>0</v>
      </c>
      <c r="C55" s="56">
        <f>PERCENTILE('[1]Tablas de datos'!$C$4:$C$153,0.25)</f>
        <v>5.0999999999999996</v>
      </c>
      <c r="D55" s="57"/>
      <c r="E55" s="58"/>
      <c r="F55" s="12">
        <v>0.25</v>
      </c>
    </row>
    <row r="56" spans="2:6" x14ac:dyDescent="0.25">
      <c r="B56" s="54"/>
      <c r="C56" s="59">
        <f>PERCENTILE('[1]Tablas de datos'!$C$4:$C$153,0.5)</f>
        <v>5.8</v>
      </c>
      <c r="D56" s="60"/>
      <c r="E56" s="61"/>
      <c r="F56" s="13">
        <v>0.5</v>
      </c>
    </row>
    <row r="57" spans="2:6" ht="15.75" thickBot="1" x14ac:dyDescent="0.3">
      <c r="B57" s="55"/>
      <c r="C57" s="62">
        <f>PERCENTILE('[1]Tablas de datos'!$C$4:$C$153,0.75)</f>
        <v>6.4</v>
      </c>
      <c r="D57" s="63"/>
      <c r="E57" s="64"/>
      <c r="F57" s="11">
        <v>0.75</v>
      </c>
    </row>
    <row r="58" spans="2:6" x14ac:dyDescent="0.25">
      <c r="B58" s="53" t="s">
        <v>1</v>
      </c>
      <c r="C58" s="56">
        <f>PERCENTILE('[1]Tablas de datos'!$D$4:$D$153,0.25)</f>
        <v>2.8</v>
      </c>
      <c r="D58" s="57"/>
      <c r="E58" s="58"/>
      <c r="F58" s="12">
        <v>0.25</v>
      </c>
    </row>
    <row r="59" spans="2:6" x14ac:dyDescent="0.25">
      <c r="B59" s="54"/>
      <c r="C59" s="59">
        <f>PERCENTILE('[1]Tablas de datos'!$D$4:$D$153,0.5)</f>
        <v>3</v>
      </c>
      <c r="D59" s="60"/>
      <c r="E59" s="61"/>
      <c r="F59" s="13">
        <v>0.5</v>
      </c>
    </row>
    <row r="60" spans="2:6" ht="15.75" thickBot="1" x14ac:dyDescent="0.3">
      <c r="B60" s="55"/>
      <c r="C60" s="62">
        <f>PERCENTILE('[1]Tablas de datos'!$D$4:$D$153,0.75)</f>
        <v>3.3</v>
      </c>
      <c r="D60" s="63"/>
      <c r="E60" s="64"/>
      <c r="F60" s="11">
        <v>0.75</v>
      </c>
    </row>
    <row r="61" spans="2:6" x14ac:dyDescent="0.25">
      <c r="B61" s="53" t="s">
        <v>2</v>
      </c>
      <c r="C61" s="56">
        <f>PERCENTILE('[1]Tablas de datos'!$E$4:$E$153,0.25)</f>
        <v>1.6</v>
      </c>
      <c r="D61" s="57"/>
      <c r="E61" s="58"/>
      <c r="F61" s="12">
        <v>0.25</v>
      </c>
    </row>
    <row r="62" spans="2:6" x14ac:dyDescent="0.25">
      <c r="B62" s="54"/>
      <c r="C62" s="59">
        <f>PERCENTILE('[1]Tablas de datos'!$E$4:$E$153,0.5)</f>
        <v>4.3499999999999996</v>
      </c>
      <c r="D62" s="60"/>
      <c r="E62" s="61"/>
      <c r="F62" s="13">
        <v>0.5</v>
      </c>
    </row>
    <row r="63" spans="2:6" ht="15.75" thickBot="1" x14ac:dyDescent="0.3">
      <c r="B63" s="55"/>
      <c r="C63" s="62">
        <f>PERCENTILE('[1]Tablas de datos'!$E$4:$E$153,0.75)</f>
        <v>5.0999999999999996</v>
      </c>
      <c r="D63" s="63"/>
      <c r="E63" s="64"/>
      <c r="F63" s="11">
        <v>0.75</v>
      </c>
    </row>
    <row r="64" spans="2:6" x14ac:dyDescent="0.25">
      <c r="B64" s="53" t="s">
        <v>3</v>
      </c>
      <c r="C64" s="56">
        <f>PERCENTILE('[1]Tablas de datos'!$F$4:$F$153,0.25)</f>
        <v>0.3</v>
      </c>
      <c r="D64" s="57"/>
      <c r="E64" s="58"/>
      <c r="F64" s="12">
        <v>0.25</v>
      </c>
    </row>
    <row r="65" spans="2:6" x14ac:dyDescent="0.25">
      <c r="B65" s="54"/>
      <c r="C65" s="59">
        <f>PERCENTILE('[1]Tablas de datos'!$F$4:$F$153,0.5)</f>
        <v>1.3</v>
      </c>
      <c r="D65" s="60"/>
      <c r="E65" s="61"/>
      <c r="F65" s="13">
        <v>0.5</v>
      </c>
    </row>
    <row r="66" spans="2:6" ht="15.75" thickBot="1" x14ac:dyDescent="0.3">
      <c r="B66" s="55"/>
      <c r="C66" s="62">
        <f>PERCENTILE('[1]Tablas de datos'!$F$4:$F$153,0.75)</f>
        <v>1.8</v>
      </c>
      <c r="D66" s="63"/>
      <c r="E66" s="64"/>
      <c r="F66" s="11">
        <v>0.75</v>
      </c>
    </row>
    <row r="68" spans="2:6" x14ac:dyDescent="0.25">
      <c r="B68" s="65" t="s">
        <v>5</v>
      </c>
      <c r="C68" s="66"/>
      <c r="D68" s="66"/>
      <c r="E68" s="66"/>
      <c r="F68" s="67"/>
    </row>
    <row r="69" spans="2:6" x14ac:dyDescent="0.25">
      <c r="B69" s="43" t="s">
        <v>7</v>
      </c>
      <c r="C69" s="43" t="s">
        <v>8</v>
      </c>
      <c r="D69" s="43" t="s">
        <v>9</v>
      </c>
      <c r="E69" s="43" t="s">
        <v>10</v>
      </c>
      <c r="F69" s="43" t="s">
        <v>11</v>
      </c>
    </row>
    <row r="70" spans="2:6" x14ac:dyDescent="0.25">
      <c r="B70" s="43" t="s">
        <v>6</v>
      </c>
      <c r="C70" s="43">
        <v>50</v>
      </c>
      <c r="D70" s="44">
        <v>0.33333333333333331</v>
      </c>
      <c r="E70" s="43">
        <v>50</v>
      </c>
      <c r="F70" s="44">
        <v>0.33333333333333331</v>
      </c>
    </row>
    <row r="71" spans="2:6" x14ac:dyDescent="0.25">
      <c r="B71" s="43" t="s">
        <v>12</v>
      </c>
      <c r="C71" s="43">
        <v>50</v>
      </c>
      <c r="D71" s="44">
        <v>0.33333333333333331</v>
      </c>
      <c r="E71" s="43">
        <v>100</v>
      </c>
      <c r="F71" s="44">
        <v>0.66666666666666663</v>
      </c>
    </row>
    <row r="72" spans="2:6" x14ac:dyDescent="0.25">
      <c r="B72" s="43" t="s">
        <v>13</v>
      </c>
      <c r="C72" s="43">
        <v>50</v>
      </c>
      <c r="D72" s="44">
        <v>0.33333333333333331</v>
      </c>
      <c r="E72" s="43">
        <v>150</v>
      </c>
      <c r="F72" s="44">
        <v>1</v>
      </c>
    </row>
    <row r="73" spans="2:6" x14ac:dyDescent="0.25">
      <c r="B73" s="43" t="s">
        <v>14</v>
      </c>
      <c r="C73" s="43">
        <v>150</v>
      </c>
    </row>
    <row r="76" spans="2:6" x14ac:dyDescent="0.25">
      <c r="B76" s="68" t="s">
        <v>15</v>
      </c>
      <c r="C76" s="68"/>
      <c r="D76" s="68"/>
      <c r="E76" s="68"/>
      <c r="F76" s="68"/>
    </row>
    <row r="77" spans="2:6" x14ac:dyDescent="0.25">
      <c r="B77" s="43" t="s">
        <v>7</v>
      </c>
      <c r="C77" s="43" t="s">
        <v>0</v>
      </c>
      <c r="D77" s="43" t="s">
        <v>1</v>
      </c>
      <c r="E77" s="43" t="s">
        <v>2</v>
      </c>
      <c r="F77" s="43" t="s">
        <v>3</v>
      </c>
    </row>
    <row r="78" spans="2:6" x14ac:dyDescent="0.25">
      <c r="B78" s="43" t="s">
        <v>6</v>
      </c>
      <c r="C78" s="45">
        <v>5.0059999999999993</v>
      </c>
      <c r="D78" s="45">
        <v>3.4280000000000008</v>
      </c>
      <c r="E78" s="45">
        <v>1.4620000000000002</v>
      </c>
      <c r="F78" s="45">
        <v>0.24599999999999991</v>
      </c>
    </row>
    <row r="79" spans="2:6" x14ac:dyDescent="0.25">
      <c r="B79" s="43" t="s">
        <v>12</v>
      </c>
      <c r="C79" s="45">
        <v>5.9359999999999999</v>
      </c>
      <c r="D79" s="45">
        <v>2.7700000000000005</v>
      </c>
      <c r="E79" s="45">
        <v>4.26</v>
      </c>
      <c r="F79" s="45">
        <v>1.3259999999999998</v>
      </c>
    </row>
    <row r="80" spans="2:6" x14ac:dyDescent="0.25">
      <c r="B80" s="43" t="s">
        <v>13</v>
      </c>
      <c r="C80" s="45">
        <v>6.5879999999999983</v>
      </c>
      <c r="D80" s="45">
        <v>2.9739999999999998</v>
      </c>
      <c r="E80" s="45">
        <v>5.5519999999999996</v>
      </c>
      <c r="F80" s="45">
        <v>2.0259999999999998</v>
      </c>
    </row>
    <row r="81" spans="2:6" x14ac:dyDescent="0.25">
      <c r="B81" s="43" t="s">
        <v>16</v>
      </c>
      <c r="C81" s="45">
        <v>5.8433333333333346</v>
      </c>
      <c r="D81" s="45">
        <v>3.0573333333333341</v>
      </c>
      <c r="E81" s="45">
        <v>3.7580000000000027</v>
      </c>
      <c r="F81" s="45">
        <v>1.199333333333334</v>
      </c>
    </row>
    <row r="82" spans="2:6" x14ac:dyDescent="0.25">
      <c r="B82" s="68" t="s">
        <v>17</v>
      </c>
      <c r="C82" s="68"/>
      <c r="D82" s="68"/>
      <c r="E82" s="68"/>
      <c r="F82" s="68"/>
    </row>
    <row r="83" spans="2:6" x14ac:dyDescent="0.25">
      <c r="B83" s="43" t="s">
        <v>7</v>
      </c>
      <c r="C83" s="43" t="s">
        <v>0</v>
      </c>
      <c r="D83" s="43" t="s">
        <v>1</v>
      </c>
      <c r="E83" s="43" t="s">
        <v>2</v>
      </c>
      <c r="F83" s="43" t="s">
        <v>3</v>
      </c>
    </row>
    <row r="84" spans="2:6" x14ac:dyDescent="0.25">
      <c r="B84" s="43" t="s">
        <v>6</v>
      </c>
      <c r="C84" s="45">
        <v>5</v>
      </c>
      <c r="D84" s="45">
        <v>3.4</v>
      </c>
      <c r="E84" s="45">
        <v>1.5</v>
      </c>
      <c r="F84" s="45">
        <v>0.2</v>
      </c>
    </row>
    <row r="85" spans="2:6" x14ac:dyDescent="0.25">
      <c r="B85" s="43" t="s">
        <v>12</v>
      </c>
      <c r="C85" s="45">
        <v>5.9</v>
      </c>
      <c r="D85" s="45">
        <v>2.8</v>
      </c>
      <c r="E85" s="45">
        <v>4.2</v>
      </c>
      <c r="F85" s="45">
        <v>1.3</v>
      </c>
    </row>
    <row r="86" spans="2:6" x14ac:dyDescent="0.25">
      <c r="B86" s="43" t="s">
        <v>13</v>
      </c>
      <c r="C86" s="45">
        <v>6.5</v>
      </c>
      <c r="D86" s="45">
        <v>3</v>
      </c>
      <c r="E86" s="45">
        <v>5.55</v>
      </c>
      <c r="F86" s="45">
        <v>2</v>
      </c>
    </row>
    <row r="87" spans="2:6" x14ac:dyDescent="0.25">
      <c r="B87" s="43" t="s">
        <v>16</v>
      </c>
      <c r="C87" s="45">
        <v>5.8</v>
      </c>
      <c r="D87" s="45">
        <v>3</v>
      </c>
      <c r="E87" s="45">
        <v>4.3499999999999996</v>
      </c>
      <c r="F87" s="45">
        <v>1.3</v>
      </c>
    </row>
    <row r="88" spans="2:6" x14ac:dyDescent="0.25">
      <c r="B88" s="68" t="s">
        <v>18</v>
      </c>
      <c r="C88" s="68"/>
      <c r="D88" s="68"/>
      <c r="E88" s="68"/>
      <c r="F88" s="68"/>
    </row>
    <row r="89" spans="2:6" x14ac:dyDescent="0.25">
      <c r="B89" s="43" t="s">
        <v>7</v>
      </c>
      <c r="C89" s="43" t="s">
        <v>0</v>
      </c>
      <c r="D89" s="43" t="s">
        <v>1</v>
      </c>
      <c r="E89" s="43" t="s">
        <v>2</v>
      </c>
      <c r="F89" s="43" t="s">
        <v>3</v>
      </c>
    </row>
    <row r="90" spans="2:6" x14ac:dyDescent="0.25">
      <c r="B90" s="43" t="s">
        <v>6</v>
      </c>
      <c r="C90" s="45">
        <v>5.8</v>
      </c>
      <c r="D90" s="45">
        <v>4.4000000000000004</v>
      </c>
      <c r="E90" s="45">
        <v>1.9</v>
      </c>
      <c r="F90" s="45">
        <v>0.6</v>
      </c>
    </row>
    <row r="91" spans="2:6" x14ac:dyDescent="0.25">
      <c r="B91" s="43" t="s">
        <v>12</v>
      </c>
      <c r="C91" s="45">
        <v>7</v>
      </c>
      <c r="D91" s="45">
        <v>3.4</v>
      </c>
      <c r="E91" s="45">
        <v>5.0999999999999996</v>
      </c>
      <c r="F91" s="45">
        <v>1.8</v>
      </c>
    </row>
    <row r="92" spans="2:6" x14ac:dyDescent="0.25">
      <c r="B92" s="43" t="s">
        <v>13</v>
      </c>
      <c r="C92" s="45">
        <v>7.9</v>
      </c>
      <c r="D92" s="45">
        <v>3.8</v>
      </c>
      <c r="E92" s="45">
        <v>6.9</v>
      </c>
      <c r="F92" s="45">
        <v>2.5</v>
      </c>
    </row>
    <row r="93" spans="2:6" x14ac:dyDescent="0.25">
      <c r="B93" s="43" t="s">
        <v>16</v>
      </c>
      <c r="C93" s="45">
        <v>7.9</v>
      </c>
      <c r="D93" s="45">
        <v>4.4000000000000004</v>
      </c>
      <c r="E93" s="45">
        <v>6.9</v>
      </c>
      <c r="F93" s="45">
        <v>2.5</v>
      </c>
    </row>
    <row r="94" spans="2:6" x14ac:dyDescent="0.25">
      <c r="B94" s="68" t="s">
        <v>19</v>
      </c>
      <c r="C94" s="68"/>
      <c r="D94" s="68"/>
      <c r="E94" s="68"/>
      <c r="F94" s="68"/>
    </row>
    <row r="95" spans="2:6" x14ac:dyDescent="0.25">
      <c r="B95" s="43" t="s">
        <v>7</v>
      </c>
      <c r="C95" s="43" t="s">
        <v>0</v>
      </c>
      <c r="D95" s="43" t="s">
        <v>1</v>
      </c>
      <c r="E95" s="43" t="s">
        <v>2</v>
      </c>
      <c r="F95" s="43" t="s">
        <v>3</v>
      </c>
    </row>
    <row r="96" spans="2:6" x14ac:dyDescent="0.25">
      <c r="B96" s="43" t="s">
        <v>6</v>
      </c>
      <c r="C96" s="45">
        <v>4.3</v>
      </c>
      <c r="D96" s="45">
        <v>2.2999999999999998</v>
      </c>
      <c r="E96" s="45">
        <v>1</v>
      </c>
      <c r="F96" s="45">
        <v>0.1</v>
      </c>
    </row>
    <row r="97" spans="2:6" x14ac:dyDescent="0.25">
      <c r="B97" s="43" t="s">
        <v>12</v>
      </c>
      <c r="C97" s="45">
        <v>4.9000000000000004</v>
      </c>
      <c r="D97" s="45">
        <v>2</v>
      </c>
      <c r="E97" s="45">
        <v>3</v>
      </c>
      <c r="F97" s="45">
        <v>1</v>
      </c>
    </row>
    <row r="98" spans="2:6" x14ac:dyDescent="0.25">
      <c r="B98" s="43" t="s">
        <v>13</v>
      </c>
      <c r="C98" s="45">
        <v>4.9000000000000004</v>
      </c>
      <c r="D98" s="45">
        <v>2.2000000000000002</v>
      </c>
      <c r="E98" s="45">
        <v>4.5</v>
      </c>
      <c r="F98" s="45">
        <v>1.4</v>
      </c>
    </row>
    <row r="99" spans="2:6" x14ac:dyDescent="0.25">
      <c r="B99" s="43" t="s">
        <v>16</v>
      </c>
      <c r="C99" s="45">
        <v>4.3</v>
      </c>
      <c r="D99" s="45">
        <v>2</v>
      </c>
      <c r="E99" s="45">
        <v>1</v>
      </c>
      <c r="F99" s="45">
        <v>0.1</v>
      </c>
    </row>
    <row r="100" spans="2:6" x14ac:dyDescent="0.25">
      <c r="B100" s="68" t="s">
        <v>20</v>
      </c>
      <c r="C100" s="68"/>
      <c r="D100" s="68"/>
      <c r="E100" s="68"/>
      <c r="F100" s="68"/>
    </row>
    <row r="101" spans="2:6" x14ac:dyDescent="0.25">
      <c r="B101" s="43" t="s">
        <v>7</v>
      </c>
      <c r="C101" s="43" t="s">
        <v>0</v>
      </c>
      <c r="D101" s="43" t="s">
        <v>1</v>
      </c>
      <c r="E101" s="43" t="s">
        <v>2</v>
      </c>
      <c r="F101" s="43" t="s">
        <v>3</v>
      </c>
    </row>
    <row r="102" spans="2:6" x14ac:dyDescent="0.25">
      <c r="B102" s="43" t="s">
        <v>6</v>
      </c>
      <c r="C102" s="45">
        <v>2.758155063595721</v>
      </c>
      <c r="D102" s="45">
        <v>0.37906436909629143</v>
      </c>
      <c r="E102" s="45">
        <v>2.2782863818417582</v>
      </c>
      <c r="F102" s="45">
        <v>0.10538558938004595</v>
      </c>
    </row>
    <row r="103" spans="2:6" x14ac:dyDescent="0.25">
      <c r="B103" s="43" t="s">
        <v>12</v>
      </c>
      <c r="C103" s="45">
        <v>0.51617114706386347</v>
      </c>
      <c r="D103" s="45">
        <v>0.31379832337840918</v>
      </c>
      <c r="E103" s="45">
        <v>2.0956151036319635</v>
      </c>
      <c r="F103" s="45">
        <v>0.19775268000454274</v>
      </c>
    </row>
    <row r="104" spans="2:6" x14ac:dyDescent="0.25">
      <c r="B104" s="43" t="s">
        <v>13</v>
      </c>
      <c r="C104" s="45">
        <v>0.635879593274432</v>
      </c>
      <c r="D104" s="45">
        <v>2.8585934617607132</v>
      </c>
      <c r="E104" s="45">
        <v>0.55189469566398353</v>
      </c>
      <c r="F104" s="45">
        <v>0.27465005563666967</v>
      </c>
    </row>
    <row r="105" spans="2:6" x14ac:dyDescent="0.25">
      <c r="B105" s="43" t="s">
        <v>16</v>
      </c>
      <c r="C105" s="45">
        <v>0.82806612797784351</v>
      </c>
      <c r="D105" s="45">
        <v>0.43586628493668389</v>
      </c>
      <c r="E105" s="45">
        <v>1.7652982332594624</v>
      </c>
      <c r="F105" s="45">
        <v>0.76223766896034584</v>
      </c>
    </row>
    <row r="106" spans="2:6" x14ac:dyDescent="0.25">
      <c r="B106" s="68" t="s">
        <v>30</v>
      </c>
      <c r="C106" s="68"/>
      <c r="D106" s="68"/>
      <c r="E106" s="68"/>
      <c r="F106" s="68"/>
    </row>
    <row r="107" spans="2:6" x14ac:dyDescent="0.25">
      <c r="B107" s="43" t="s">
        <v>21</v>
      </c>
      <c r="C107" s="43" t="s">
        <v>6</v>
      </c>
      <c r="D107" s="43" t="s">
        <v>12</v>
      </c>
      <c r="E107" s="43" t="s">
        <v>13</v>
      </c>
      <c r="F107" s="43" t="s">
        <v>22</v>
      </c>
    </row>
    <row r="108" spans="2:6" x14ac:dyDescent="0.25">
      <c r="B108" s="69" t="s">
        <v>0</v>
      </c>
      <c r="C108" s="45">
        <v>4.8</v>
      </c>
      <c r="D108" s="45">
        <v>5.6</v>
      </c>
      <c r="E108" s="45">
        <v>6.2249999999999996</v>
      </c>
      <c r="F108" s="44">
        <v>0.25</v>
      </c>
    </row>
    <row r="109" spans="2:6" x14ac:dyDescent="0.25">
      <c r="B109" s="69"/>
      <c r="C109" s="45">
        <v>5</v>
      </c>
      <c r="D109" s="45">
        <v>5.9</v>
      </c>
      <c r="E109" s="45">
        <v>6.5</v>
      </c>
      <c r="F109" s="44">
        <v>0.5</v>
      </c>
    </row>
    <row r="110" spans="2:6" x14ac:dyDescent="0.25">
      <c r="B110" s="69"/>
      <c r="C110" s="45">
        <v>5.2</v>
      </c>
      <c r="D110" s="45">
        <v>6.3</v>
      </c>
      <c r="E110" s="45">
        <v>6.9</v>
      </c>
      <c r="F110" s="44">
        <v>0.75</v>
      </c>
    </row>
    <row r="111" spans="2:6" x14ac:dyDescent="0.25">
      <c r="B111" s="69" t="s">
        <v>1</v>
      </c>
      <c r="C111" s="45">
        <v>3.2</v>
      </c>
      <c r="D111" s="45">
        <v>2.5249999999999999</v>
      </c>
      <c r="E111" s="45">
        <v>2.8</v>
      </c>
      <c r="F111" s="44">
        <v>0.25</v>
      </c>
    </row>
    <row r="112" spans="2:6" x14ac:dyDescent="0.25">
      <c r="B112" s="69"/>
      <c r="C112" s="45">
        <v>3.4</v>
      </c>
      <c r="D112" s="45">
        <v>2.8</v>
      </c>
      <c r="E112" s="45">
        <v>3</v>
      </c>
      <c r="F112" s="44">
        <v>0.5</v>
      </c>
    </row>
    <row r="113" spans="2:6" x14ac:dyDescent="0.25">
      <c r="B113" s="69"/>
      <c r="C113" s="45">
        <v>3.6750000000000003</v>
      </c>
      <c r="D113" s="45">
        <v>3</v>
      </c>
      <c r="E113" s="45">
        <v>3.1750000000000003</v>
      </c>
      <c r="F113" s="44">
        <v>0.75</v>
      </c>
    </row>
    <row r="114" spans="2:6" x14ac:dyDescent="0.25">
      <c r="B114" s="69" t="s">
        <v>2</v>
      </c>
      <c r="C114" s="45">
        <v>1.4</v>
      </c>
      <c r="D114" s="45">
        <v>4</v>
      </c>
      <c r="E114" s="45">
        <v>5.0999999999999996</v>
      </c>
      <c r="F114" s="44">
        <v>0.25</v>
      </c>
    </row>
    <row r="115" spans="2:6" x14ac:dyDescent="0.25">
      <c r="B115" s="69"/>
      <c r="C115" s="45">
        <v>1.5</v>
      </c>
      <c r="D115" s="45">
        <v>4.3499999999999996</v>
      </c>
      <c r="E115" s="45">
        <v>5.55</v>
      </c>
      <c r="F115" s="44">
        <v>0.5</v>
      </c>
    </row>
    <row r="116" spans="2:6" x14ac:dyDescent="0.25">
      <c r="B116" s="69"/>
      <c r="C116" s="45">
        <v>1.5750000000000002</v>
      </c>
      <c r="D116" s="45">
        <v>4.5999999999999996</v>
      </c>
      <c r="E116" s="45">
        <v>5.875</v>
      </c>
      <c r="F116" s="44">
        <v>0.75</v>
      </c>
    </row>
    <row r="117" spans="2:6" x14ac:dyDescent="0.25">
      <c r="B117" s="69" t="s">
        <v>3</v>
      </c>
      <c r="C117" s="45">
        <v>0.2</v>
      </c>
      <c r="D117" s="45">
        <v>1.2</v>
      </c>
      <c r="E117" s="45">
        <v>1.8</v>
      </c>
      <c r="F117" s="44">
        <v>0.25</v>
      </c>
    </row>
    <row r="118" spans="2:6" x14ac:dyDescent="0.25">
      <c r="B118" s="69"/>
      <c r="C118" s="45">
        <v>0.2</v>
      </c>
      <c r="D118" s="45">
        <v>1.3</v>
      </c>
      <c r="E118" s="45">
        <v>2</v>
      </c>
      <c r="F118" s="44">
        <v>0.5</v>
      </c>
    </row>
    <row r="119" spans="2:6" x14ac:dyDescent="0.25">
      <c r="B119" s="69"/>
      <c r="C119" s="45">
        <v>0.3</v>
      </c>
      <c r="D119" s="45">
        <v>1.5</v>
      </c>
      <c r="E119" s="45">
        <v>2.2999999999999998</v>
      </c>
      <c r="F119" s="44">
        <v>0.75</v>
      </c>
    </row>
    <row r="120" spans="2:6" x14ac:dyDescent="0.25">
      <c r="B120" s="68" t="s">
        <v>31</v>
      </c>
      <c r="C120" s="70"/>
      <c r="D120" s="70"/>
      <c r="E120" s="70"/>
      <c r="F120" s="68"/>
    </row>
    <row r="121" spans="2:6" x14ac:dyDescent="0.25">
      <c r="B121" s="71" t="s">
        <v>0</v>
      </c>
      <c r="C121" s="72">
        <v>5.0999999999999996</v>
      </c>
      <c r="D121" s="73"/>
      <c r="E121" s="74"/>
      <c r="F121" s="46">
        <v>0.25</v>
      </c>
    </row>
    <row r="122" spans="2:6" x14ac:dyDescent="0.25">
      <c r="B122" s="71"/>
      <c r="C122" s="75">
        <v>5.8</v>
      </c>
      <c r="D122" s="76"/>
      <c r="E122" s="77"/>
      <c r="F122" s="46">
        <v>0.5</v>
      </c>
    </row>
    <row r="123" spans="2:6" x14ac:dyDescent="0.25">
      <c r="B123" s="71"/>
      <c r="C123" s="75">
        <v>6.4</v>
      </c>
      <c r="D123" s="76"/>
      <c r="E123" s="77"/>
      <c r="F123" s="46">
        <v>0.75</v>
      </c>
    </row>
    <row r="124" spans="2:6" x14ac:dyDescent="0.25">
      <c r="B124" s="71" t="s">
        <v>1</v>
      </c>
      <c r="C124" s="72">
        <v>2.8</v>
      </c>
      <c r="D124" s="73"/>
      <c r="E124" s="74"/>
      <c r="F124" s="46">
        <v>0.25</v>
      </c>
    </row>
    <row r="125" spans="2:6" x14ac:dyDescent="0.25">
      <c r="B125" s="71"/>
      <c r="C125" s="75">
        <v>3</v>
      </c>
      <c r="D125" s="76"/>
      <c r="E125" s="77"/>
      <c r="F125" s="46">
        <v>0.5</v>
      </c>
    </row>
    <row r="126" spans="2:6" x14ac:dyDescent="0.25">
      <c r="B126" s="71"/>
      <c r="C126" s="75">
        <v>3.3</v>
      </c>
      <c r="D126" s="76"/>
      <c r="E126" s="77"/>
      <c r="F126" s="46">
        <v>0.75</v>
      </c>
    </row>
    <row r="127" spans="2:6" x14ac:dyDescent="0.25">
      <c r="B127" s="71" t="s">
        <v>2</v>
      </c>
      <c r="C127" s="72">
        <v>1.6</v>
      </c>
      <c r="D127" s="73"/>
      <c r="E127" s="74"/>
      <c r="F127" s="46">
        <v>0.25</v>
      </c>
    </row>
    <row r="128" spans="2:6" x14ac:dyDescent="0.25">
      <c r="B128" s="71"/>
      <c r="C128" s="75">
        <v>4.3499999999999996</v>
      </c>
      <c r="D128" s="76"/>
      <c r="E128" s="77"/>
      <c r="F128" s="46">
        <v>0.5</v>
      </c>
    </row>
    <row r="129" spans="2:6" x14ac:dyDescent="0.25">
      <c r="B129" s="71"/>
      <c r="C129" s="75">
        <v>5.0999999999999996</v>
      </c>
      <c r="D129" s="76"/>
      <c r="E129" s="77"/>
      <c r="F129" s="46">
        <v>0.75</v>
      </c>
    </row>
    <row r="130" spans="2:6" x14ac:dyDescent="0.25">
      <c r="B130" s="71" t="s">
        <v>3</v>
      </c>
      <c r="C130" s="72">
        <v>0.3</v>
      </c>
      <c r="D130" s="73"/>
      <c r="E130" s="74"/>
      <c r="F130" s="46">
        <v>0.25</v>
      </c>
    </row>
    <row r="131" spans="2:6" x14ac:dyDescent="0.25">
      <c r="B131" s="71"/>
      <c r="C131" s="75">
        <v>1.3</v>
      </c>
      <c r="D131" s="76"/>
      <c r="E131" s="77"/>
      <c r="F131" s="46">
        <v>0.5</v>
      </c>
    </row>
    <row r="132" spans="2:6" x14ac:dyDescent="0.25">
      <c r="B132" s="71"/>
      <c r="C132" s="78">
        <v>1.8</v>
      </c>
      <c r="D132" s="79"/>
      <c r="E132" s="80"/>
      <c r="F132" s="46">
        <v>0.75</v>
      </c>
    </row>
  </sheetData>
  <mergeCells count="56">
    <mergeCell ref="B130:B132"/>
    <mergeCell ref="C130:E130"/>
    <mergeCell ref="C131:E131"/>
    <mergeCell ref="C132:E132"/>
    <mergeCell ref="B124:B126"/>
    <mergeCell ref="C124:E124"/>
    <mergeCell ref="C125:E125"/>
    <mergeCell ref="C126:E126"/>
    <mergeCell ref="B127:B129"/>
    <mergeCell ref="C127:E127"/>
    <mergeCell ref="C128:E128"/>
    <mergeCell ref="C129:E129"/>
    <mergeCell ref="B117:B119"/>
    <mergeCell ref="B120:F120"/>
    <mergeCell ref="B121:B123"/>
    <mergeCell ref="C121:E121"/>
    <mergeCell ref="C122:E122"/>
    <mergeCell ref="C123:E123"/>
    <mergeCell ref="B100:F100"/>
    <mergeCell ref="B106:F106"/>
    <mergeCell ref="B108:B110"/>
    <mergeCell ref="B111:B113"/>
    <mergeCell ref="B114:B116"/>
    <mergeCell ref="B68:F68"/>
    <mergeCell ref="B76:F76"/>
    <mergeCell ref="B82:F82"/>
    <mergeCell ref="B88:F88"/>
    <mergeCell ref="B94:F94"/>
    <mergeCell ref="B64:B66"/>
    <mergeCell ref="C64:E64"/>
    <mergeCell ref="C65:E65"/>
    <mergeCell ref="C66:E66"/>
    <mergeCell ref="B58:B60"/>
    <mergeCell ref="C58:E58"/>
    <mergeCell ref="C59:E59"/>
    <mergeCell ref="C60:E60"/>
    <mergeCell ref="B61:B63"/>
    <mergeCell ref="C61:E61"/>
    <mergeCell ref="C62:E62"/>
    <mergeCell ref="C63:E63"/>
    <mergeCell ref="B51:B53"/>
    <mergeCell ref="B54:F54"/>
    <mergeCell ref="B55:B57"/>
    <mergeCell ref="C55:E55"/>
    <mergeCell ref="C56:E56"/>
    <mergeCell ref="C57:E57"/>
    <mergeCell ref="B2:F2"/>
    <mergeCell ref="B10:F10"/>
    <mergeCell ref="B16:F16"/>
    <mergeCell ref="B22:F22"/>
    <mergeCell ref="B28:F28"/>
    <mergeCell ref="B34:F34"/>
    <mergeCell ref="B40:F40"/>
    <mergeCell ref="B42:B44"/>
    <mergeCell ref="B45:B47"/>
    <mergeCell ref="B48:B5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7493-AA21-46F5-9234-2F5721A6EC1F}">
  <dimension ref="B1:AA69"/>
  <sheetViews>
    <sheetView topLeftCell="A28" workbookViewId="0">
      <selection activeCell="T152" sqref="T152"/>
    </sheetView>
  </sheetViews>
  <sheetFormatPr defaultRowHeight="15" x14ac:dyDescent="0.25"/>
  <cols>
    <col min="1" max="1" width="9.140625" style="20"/>
    <col min="2" max="7" width="12.5703125" style="20" customWidth="1"/>
    <col min="8" max="8" width="9.140625" style="20"/>
    <col min="9" max="13" width="11.85546875" style="20" customWidth="1"/>
    <col min="14" max="16384" width="9.140625" style="20"/>
  </cols>
  <sheetData>
    <row r="1" spans="2:21" ht="15.75" thickBot="1" x14ac:dyDescent="0.3"/>
    <row r="2" spans="2:21" ht="15.75" thickBot="1" x14ac:dyDescent="0.3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I2" s="23"/>
      <c r="J2" s="23" t="s">
        <v>0</v>
      </c>
      <c r="K2" s="23" t="s">
        <v>1</v>
      </c>
      <c r="L2" s="23" t="s">
        <v>2</v>
      </c>
      <c r="M2" s="23" t="s">
        <v>3</v>
      </c>
      <c r="N2" s="23" t="s">
        <v>4</v>
      </c>
      <c r="P2" s="23"/>
      <c r="Q2" s="23" t="s">
        <v>0</v>
      </c>
      <c r="R2" s="23" t="s">
        <v>1</v>
      </c>
      <c r="S2" s="23" t="s">
        <v>2</v>
      </c>
      <c r="T2" s="23" t="s">
        <v>3</v>
      </c>
      <c r="U2" s="23" t="s">
        <v>4</v>
      </c>
    </row>
    <row r="3" spans="2:21" x14ac:dyDescent="0.25">
      <c r="B3" s="2">
        <v>1</v>
      </c>
      <c r="C3" s="2">
        <v>5.0999999999999996</v>
      </c>
      <c r="D3" s="2">
        <v>3.5</v>
      </c>
      <c r="E3" s="2">
        <v>1.4</v>
      </c>
      <c r="F3" s="2">
        <v>0.2</v>
      </c>
      <c r="G3" s="2" t="s">
        <v>6</v>
      </c>
      <c r="I3" s="3">
        <v>51</v>
      </c>
      <c r="J3" s="3">
        <v>7</v>
      </c>
      <c r="K3" s="3">
        <v>3.2</v>
      </c>
      <c r="L3" s="3">
        <v>4.7</v>
      </c>
      <c r="M3" s="3">
        <v>1.4</v>
      </c>
      <c r="N3" s="3" t="s">
        <v>12</v>
      </c>
      <c r="P3" s="3">
        <v>101</v>
      </c>
      <c r="Q3" s="3">
        <v>6.3</v>
      </c>
      <c r="R3" s="3">
        <v>3.3</v>
      </c>
      <c r="S3" s="3">
        <v>6</v>
      </c>
      <c r="T3" s="3">
        <v>2.5</v>
      </c>
      <c r="U3" s="3" t="s">
        <v>13</v>
      </c>
    </row>
    <row r="4" spans="2:21" x14ac:dyDescent="0.25">
      <c r="B4" s="3">
        <v>2</v>
      </c>
      <c r="C4" s="3">
        <v>4.9000000000000004</v>
      </c>
      <c r="D4" s="3">
        <v>3</v>
      </c>
      <c r="E4" s="3">
        <v>1.4</v>
      </c>
      <c r="F4" s="3">
        <v>0.2</v>
      </c>
      <c r="G4" s="3" t="s">
        <v>6</v>
      </c>
      <c r="I4" s="3">
        <v>52</v>
      </c>
      <c r="J4" s="3">
        <v>6.4</v>
      </c>
      <c r="K4" s="3">
        <v>3.2</v>
      </c>
      <c r="L4" s="3">
        <v>4.5</v>
      </c>
      <c r="M4" s="3">
        <v>1.5</v>
      </c>
      <c r="N4" s="3" t="s">
        <v>12</v>
      </c>
      <c r="P4" s="3">
        <v>102</v>
      </c>
      <c r="Q4" s="3">
        <v>5.8</v>
      </c>
      <c r="R4" s="3">
        <v>2.7</v>
      </c>
      <c r="S4" s="3">
        <v>5.0999999999999996</v>
      </c>
      <c r="T4" s="3">
        <v>1.9</v>
      </c>
      <c r="U4" s="3" t="s">
        <v>13</v>
      </c>
    </row>
    <row r="5" spans="2:21" x14ac:dyDescent="0.25">
      <c r="B5" s="3">
        <v>3</v>
      </c>
      <c r="C5" s="3">
        <v>4.7</v>
      </c>
      <c r="D5" s="3">
        <v>3.2</v>
      </c>
      <c r="E5" s="3">
        <v>1.3</v>
      </c>
      <c r="F5" s="3">
        <v>0.2</v>
      </c>
      <c r="G5" s="3" t="s">
        <v>6</v>
      </c>
      <c r="I5" s="3">
        <v>53</v>
      </c>
      <c r="J5" s="3">
        <v>6.9</v>
      </c>
      <c r="K5" s="3">
        <v>3.1</v>
      </c>
      <c r="L5" s="3">
        <v>4.9000000000000004</v>
      </c>
      <c r="M5" s="3">
        <v>1.5</v>
      </c>
      <c r="N5" s="3" t="s">
        <v>12</v>
      </c>
      <c r="P5" s="3">
        <v>103</v>
      </c>
      <c r="Q5" s="3">
        <v>7.1</v>
      </c>
      <c r="R5" s="3">
        <v>3</v>
      </c>
      <c r="S5" s="3">
        <v>5.9</v>
      </c>
      <c r="T5" s="3">
        <v>2.1</v>
      </c>
      <c r="U5" s="3" t="s">
        <v>13</v>
      </c>
    </row>
    <row r="6" spans="2:21" x14ac:dyDescent="0.25">
      <c r="B6" s="3">
        <v>4</v>
      </c>
      <c r="C6" s="3">
        <v>4.5999999999999996</v>
      </c>
      <c r="D6" s="3">
        <v>3.1</v>
      </c>
      <c r="E6" s="3">
        <v>1.5</v>
      </c>
      <c r="F6" s="3">
        <v>0.2</v>
      </c>
      <c r="G6" s="3" t="s">
        <v>6</v>
      </c>
      <c r="I6" s="3">
        <v>54</v>
      </c>
      <c r="J6" s="3">
        <v>5.5</v>
      </c>
      <c r="K6" s="3">
        <v>2.2999999999999998</v>
      </c>
      <c r="L6" s="3">
        <v>4</v>
      </c>
      <c r="M6" s="3">
        <v>1.3</v>
      </c>
      <c r="N6" s="3" t="s">
        <v>12</v>
      </c>
      <c r="P6" s="3">
        <v>104</v>
      </c>
      <c r="Q6" s="3">
        <v>6.3</v>
      </c>
      <c r="R6" s="3">
        <v>2.9</v>
      </c>
      <c r="S6" s="3">
        <v>5.6</v>
      </c>
      <c r="T6" s="3">
        <v>1.8</v>
      </c>
      <c r="U6" s="3" t="s">
        <v>13</v>
      </c>
    </row>
    <row r="7" spans="2:21" x14ac:dyDescent="0.25">
      <c r="B7" s="3">
        <v>5</v>
      </c>
      <c r="C7" s="3">
        <v>5</v>
      </c>
      <c r="D7" s="3">
        <v>3.6</v>
      </c>
      <c r="E7" s="3">
        <v>1.4</v>
      </c>
      <c r="F7" s="3">
        <v>0.2</v>
      </c>
      <c r="G7" s="3" t="s">
        <v>6</v>
      </c>
      <c r="I7" s="3">
        <v>55</v>
      </c>
      <c r="J7" s="3">
        <v>6.5</v>
      </c>
      <c r="K7" s="3">
        <v>2.8</v>
      </c>
      <c r="L7" s="3">
        <v>4.5999999999999996</v>
      </c>
      <c r="M7" s="3">
        <v>1.5</v>
      </c>
      <c r="N7" s="3" t="s">
        <v>12</v>
      </c>
      <c r="P7" s="3">
        <v>105</v>
      </c>
      <c r="Q7" s="3">
        <v>6.5</v>
      </c>
      <c r="R7" s="3">
        <v>3</v>
      </c>
      <c r="S7" s="3">
        <v>5.8</v>
      </c>
      <c r="T7" s="3">
        <v>2.2000000000000002</v>
      </c>
      <c r="U7" s="3" t="s">
        <v>13</v>
      </c>
    </row>
    <row r="8" spans="2:21" x14ac:dyDescent="0.25">
      <c r="B8" s="3">
        <v>6</v>
      </c>
      <c r="C8" s="3">
        <v>5.4</v>
      </c>
      <c r="D8" s="3">
        <v>3.9</v>
      </c>
      <c r="E8" s="3">
        <v>1.7</v>
      </c>
      <c r="F8" s="3">
        <v>0.4</v>
      </c>
      <c r="G8" s="3" t="s">
        <v>6</v>
      </c>
      <c r="I8" s="3">
        <v>56</v>
      </c>
      <c r="J8" s="3">
        <v>5.7</v>
      </c>
      <c r="K8" s="3">
        <v>2.8</v>
      </c>
      <c r="L8" s="3">
        <v>4.5</v>
      </c>
      <c r="M8" s="3">
        <v>1.3</v>
      </c>
      <c r="N8" s="3" t="s">
        <v>12</v>
      </c>
      <c r="P8" s="3">
        <v>106</v>
      </c>
      <c r="Q8" s="3">
        <v>7.6</v>
      </c>
      <c r="R8" s="3">
        <v>3</v>
      </c>
      <c r="S8" s="3">
        <v>6.6</v>
      </c>
      <c r="T8" s="3">
        <v>2.1</v>
      </c>
      <c r="U8" s="3" t="s">
        <v>13</v>
      </c>
    </row>
    <row r="9" spans="2:21" x14ac:dyDescent="0.25">
      <c r="B9" s="3">
        <v>7</v>
      </c>
      <c r="C9" s="3">
        <v>4.5999999999999996</v>
      </c>
      <c r="D9" s="3">
        <v>3.4</v>
      </c>
      <c r="E9" s="3">
        <v>1.4</v>
      </c>
      <c r="F9" s="3">
        <v>0.3</v>
      </c>
      <c r="G9" s="3" t="s">
        <v>6</v>
      </c>
      <c r="I9" s="3">
        <v>57</v>
      </c>
      <c r="J9" s="3">
        <v>6.3</v>
      </c>
      <c r="K9" s="3">
        <v>3.3</v>
      </c>
      <c r="L9" s="3">
        <v>4.7</v>
      </c>
      <c r="M9" s="3">
        <v>1.6</v>
      </c>
      <c r="N9" s="3" t="s">
        <v>12</v>
      </c>
      <c r="P9" s="3">
        <v>107</v>
      </c>
      <c r="Q9" s="3">
        <v>4.9000000000000004</v>
      </c>
      <c r="R9" s="3">
        <v>2.5</v>
      </c>
      <c r="S9" s="3">
        <v>4.5</v>
      </c>
      <c r="T9" s="3">
        <v>1.7</v>
      </c>
      <c r="U9" s="3" t="s">
        <v>13</v>
      </c>
    </row>
    <row r="10" spans="2:21" x14ac:dyDescent="0.25">
      <c r="B10" s="3">
        <v>8</v>
      </c>
      <c r="C10" s="3">
        <v>5</v>
      </c>
      <c r="D10" s="3">
        <v>3.4</v>
      </c>
      <c r="E10" s="3">
        <v>1.5</v>
      </c>
      <c r="F10" s="3">
        <v>0.2</v>
      </c>
      <c r="G10" s="3" t="s">
        <v>6</v>
      </c>
      <c r="I10" s="3">
        <v>58</v>
      </c>
      <c r="J10" s="3">
        <v>4.9000000000000004</v>
      </c>
      <c r="K10" s="3">
        <v>2.4</v>
      </c>
      <c r="L10" s="3">
        <v>3.3</v>
      </c>
      <c r="M10" s="3">
        <v>1</v>
      </c>
      <c r="N10" s="3" t="s">
        <v>12</v>
      </c>
      <c r="P10" s="3">
        <v>108</v>
      </c>
      <c r="Q10" s="3">
        <v>7.3</v>
      </c>
      <c r="R10" s="3">
        <v>2.9</v>
      </c>
      <c r="S10" s="3">
        <v>6.3</v>
      </c>
      <c r="T10" s="3">
        <v>1.8</v>
      </c>
      <c r="U10" s="3" t="s">
        <v>13</v>
      </c>
    </row>
    <row r="11" spans="2:21" x14ac:dyDescent="0.25">
      <c r="B11" s="3">
        <v>9</v>
      </c>
      <c r="C11" s="3">
        <v>4.4000000000000004</v>
      </c>
      <c r="D11" s="3">
        <v>2.9</v>
      </c>
      <c r="E11" s="3">
        <v>1.4</v>
      </c>
      <c r="F11" s="3">
        <v>0.2</v>
      </c>
      <c r="G11" s="3" t="s">
        <v>6</v>
      </c>
      <c r="I11" s="3">
        <v>59</v>
      </c>
      <c r="J11" s="3">
        <v>6.6</v>
      </c>
      <c r="K11" s="3">
        <v>2.9</v>
      </c>
      <c r="L11" s="3">
        <v>4.5999999999999996</v>
      </c>
      <c r="M11" s="3">
        <v>1.3</v>
      </c>
      <c r="N11" s="3" t="s">
        <v>12</v>
      </c>
      <c r="P11" s="3">
        <v>109</v>
      </c>
      <c r="Q11" s="3">
        <v>6.7</v>
      </c>
      <c r="R11" s="3">
        <v>2.5</v>
      </c>
      <c r="S11" s="3">
        <v>5.8</v>
      </c>
      <c r="T11" s="3">
        <v>1.8</v>
      </c>
      <c r="U11" s="3" t="s">
        <v>13</v>
      </c>
    </row>
    <row r="12" spans="2:21" x14ac:dyDescent="0.25">
      <c r="B12" s="3">
        <v>10</v>
      </c>
      <c r="C12" s="3">
        <v>4.9000000000000004</v>
      </c>
      <c r="D12" s="3">
        <v>3.1</v>
      </c>
      <c r="E12" s="3">
        <v>1.5</v>
      </c>
      <c r="F12" s="3">
        <v>0.1</v>
      </c>
      <c r="G12" s="3" t="s">
        <v>6</v>
      </c>
      <c r="I12" s="3">
        <v>60</v>
      </c>
      <c r="J12" s="3">
        <v>5.2</v>
      </c>
      <c r="K12" s="3">
        <v>2.7</v>
      </c>
      <c r="L12" s="3">
        <v>3.9</v>
      </c>
      <c r="M12" s="3">
        <v>1.4</v>
      </c>
      <c r="N12" s="3" t="s">
        <v>12</v>
      </c>
      <c r="P12" s="3">
        <v>110</v>
      </c>
      <c r="Q12" s="3">
        <v>7.2</v>
      </c>
      <c r="R12" s="3">
        <v>3.6</v>
      </c>
      <c r="S12" s="3">
        <v>6.1</v>
      </c>
      <c r="T12" s="3">
        <v>2.5</v>
      </c>
      <c r="U12" s="3" t="s">
        <v>13</v>
      </c>
    </row>
    <row r="13" spans="2:21" x14ac:dyDescent="0.25">
      <c r="B13" s="3">
        <v>11</v>
      </c>
      <c r="C13" s="3">
        <v>5.4</v>
      </c>
      <c r="D13" s="3">
        <v>3.7</v>
      </c>
      <c r="E13" s="3">
        <v>1.5</v>
      </c>
      <c r="F13" s="3">
        <v>0.2</v>
      </c>
      <c r="G13" s="3" t="s">
        <v>6</v>
      </c>
      <c r="I13" s="3">
        <v>61</v>
      </c>
      <c r="J13" s="3">
        <v>5</v>
      </c>
      <c r="K13" s="3">
        <v>2</v>
      </c>
      <c r="L13" s="3">
        <v>3.5</v>
      </c>
      <c r="M13" s="3">
        <v>1</v>
      </c>
      <c r="N13" s="3" t="s">
        <v>12</v>
      </c>
      <c r="P13" s="3">
        <v>111</v>
      </c>
      <c r="Q13" s="3">
        <v>6.5</v>
      </c>
      <c r="R13" s="3">
        <v>3.2</v>
      </c>
      <c r="S13" s="3">
        <v>5.0999999999999996</v>
      </c>
      <c r="T13" s="3">
        <v>2</v>
      </c>
      <c r="U13" s="3" t="s">
        <v>13</v>
      </c>
    </row>
    <row r="14" spans="2:21" x14ac:dyDescent="0.25">
      <c r="B14" s="3">
        <v>12</v>
      </c>
      <c r="C14" s="3">
        <v>4.8</v>
      </c>
      <c r="D14" s="3">
        <v>3.4</v>
      </c>
      <c r="E14" s="3">
        <v>1.6</v>
      </c>
      <c r="F14" s="3">
        <v>0.2</v>
      </c>
      <c r="G14" s="3" t="s">
        <v>6</v>
      </c>
      <c r="I14" s="3">
        <v>62</v>
      </c>
      <c r="J14" s="3">
        <v>5.9</v>
      </c>
      <c r="K14" s="3">
        <v>3</v>
      </c>
      <c r="L14" s="3">
        <v>4.2</v>
      </c>
      <c r="M14" s="3">
        <v>1.5</v>
      </c>
      <c r="N14" s="3" t="s">
        <v>12</v>
      </c>
      <c r="P14" s="3">
        <v>112</v>
      </c>
      <c r="Q14" s="3">
        <v>6.4</v>
      </c>
      <c r="R14" s="3">
        <v>2.7</v>
      </c>
      <c r="S14" s="3">
        <v>5.3</v>
      </c>
      <c r="T14" s="3">
        <v>1.9</v>
      </c>
      <c r="U14" s="3" t="s">
        <v>13</v>
      </c>
    </row>
    <row r="15" spans="2:21" x14ac:dyDescent="0.25">
      <c r="B15" s="3">
        <v>13</v>
      </c>
      <c r="C15" s="3">
        <v>4.8</v>
      </c>
      <c r="D15" s="3">
        <v>3</v>
      </c>
      <c r="E15" s="3">
        <v>1.4</v>
      </c>
      <c r="F15" s="3">
        <v>0.1</v>
      </c>
      <c r="G15" s="3" t="s">
        <v>6</v>
      </c>
      <c r="I15" s="3">
        <v>63</v>
      </c>
      <c r="J15" s="3">
        <v>6</v>
      </c>
      <c r="K15" s="3">
        <v>2.2000000000000002</v>
      </c>
      <c r="L15" s="3">
        <v>4</v>
      </c>
      <c r="M15" s="3">
        <v>1</v>
      </c>
      <c r="N15" s="3" t="s">
        <v>12</v>
      </c>
      <c r="P15" s="3">
        <v>113</v>
      </c>
      <c r="Q15" s="3">
        <v>6.8</v>
      </c>
      <c r="R15" s="3">
        <v>3</v>
      </c>
      <c r="S15" s="3">
        <v>5.5</v>
      </c>
      <c r="T15" s="3">
        <v>2.1</v>
      </c>
      <c r="U15" s="3" t="s">
        <v>13</v>
      </c>
    </row>
    <row r="16" spans="2:21" x14ac:dyDescent="0.25">
      <c r="B16" s="3">
        <v>14</v>
      </c>
      <c r="C16" s="3">
        <v>4.3</v>
      </c>
      <c r="D16" s="3">
        <v>3</v>
      </c>
      <c r="E16" s="3">
        <v>1.1000000000000001</v>
      </c>
      <c r="F16" s="3">
        <v>0.1</v>
      </c>
      <c r="G16" s="3" t="s">
        <v>6</v>
      </c>
      <c r="I16" s="3">
        <v>64</v>
      </c>
      <c r="J16" s="3">
        <v>6.1</v>
      </c>
      <c r="K16" s="3">
        <v>2.9</v>
      </c>
      <c r="L16" s="3">
        <v>4.7</v>
      </c>
      <c r="M16" s="3">
        <v>1.4</v>
      </c>
      <c r="N16" s="3" t="s">
        <v>12</v>
      </c>
      <c r="P16" s="3">
        <v>114</v>
      </c>
      <c r="Q16" s="3">
        <v>5.7</v>
      </c>
      <c r="R16" s="3">
        <v>2.5</v>
      </c>
      <c r="S16" s="3">
        <v>5</v>
      </c>
      <c r="T16" s="3">
        <v>2</v>
      </c>
      <c r="U16" s="3" t="s">
        <v>13</v>
      </c>
    </row>
    <row r="17" spans="2:21" x14ac:dyDescent="0.25">
      <c r="B17" s="3">
        <v>15</v>
      </c>
      <c r="C17" s="3">
        <v>5.8</v>
      </c>
      <c r="D17" s="3">
        <v>4</v>
      </c>
      <c r="E17" s="3">
        <v>1.2</v>
      </c>
      <c r="F17" s="3">
        <v>0.2</v>
      </c>
      <c r="G17" s="3" t="s">
        <v>6</v>
      </c>
      <c r="I17" s="3">
        <v>65</v>
      </c>
      <c r="J17" s="3">
        <v>5.6</v>
      </c>
      <c r="K17" s="3">
        <v>2.9</v>
      </c>
      <c r="L17" s="3">
        <v>3.6</v>
      </c>
      <c r="M17" s="3">
        <v>1.3</v>
      </c>
      <c r="N17" s="3" t="s">
        <v>12</v>
      </c>
      <c r="P17" s="3">
        <v>115</v>
      </c>
      <c r="Q17" s="3">
        <v>5.8</v>
      </c>
      <c r="R17" s="3">
        <v>2.8</v>
      </c>
      <c r="S17" s="3">
        <v>5.0999999999999996</v>
      </c>
      <c r="T17" s="3">
        <v>2.4</v>
      </c>
      <c r="U17" s="3" t="s">
        <v>13</v>
      </c>
    </row>
    <row r="18" spans="2:21" x14ac:dyDescent="0.25">
      <c r="B18" s="3">
        <v>16</v>
      </c>
      <c r="C18" s="3">
        <v>5.7</v>
      </c>
      <c r="D18" s="3">
        <v>4.4000000000000004</v>
      </c>
      <c r="E18" s="3">
        <v>1.5</v>
      </c>
      <c r="F18" s="3">
        <v>0.4</v>
      </c>
      <c r="G18" s="3" t="s">
        <v>6</v>
      </c>
      <c r="I18" s="3">
        <v>66</v>
      </c>
      <c r="J18" s="3">
        <v>6.7</v>
      </c>
      <c r="K18" s="3">
        <v>3.1</v>
      </c>
      <c r="L18" s="3">
        <v>4.4000000000000004</v>
      </c>
      <c r="M18" s="3">
        <v>1.4</v>
      </c>
      <c r="N18" s="3" t="s">
        <v>12</v>
      </c>
      <c r="P18" s="3">
        <v>116</v>
      </c>
      <c r="Q18" s="3">
        <v>6.4</v>
      </c>
      <c r="R18" s="3">
        <v>3.2</v>
      </c>
      <c r="S18" s="3">
        <v>5.3</v>
      </c>
      <c r="T18" s="3">
        <v>2.2999999999999998</v>
      </c>
      <c r="U18" s="3" t="s">
        <v>13</v>
      </c>
    </row>
    <row r="19" spans="2:21" x14ac:dyDescent="0.25">
      <c r="B19" s="3">
        <v>17</v>
      </c>
      <c r="C19" s="3">
        <v>5.4</v>
      </c>
      <c r="D19" s="3">
        <v>3.9</v>
      </c>
      <c r="E19" s="3">
        <v>1.3</v>
      </c>
      <c r="F19" s="3">
        <v>0.4</v>
      </c>
      <c r="G19" s="3" t="s">
        <v>6</v>
      </c>
      <c r="I19" s="3">
        <v>67</v>
      </c>
      <c r="J19" s="3">
        <v>5.6</v>
      </c>
      <c r="K19" s="3">
        <v>3</v>
      </c>
      <c r="L19" s="3">
        <v>4.5</v>
      </c>
      <c r="M19" s="3">
        <v>1.5</v>
      </c>
      <c r="N19" s="3" t="s">
        <v>12</v>
      </c>
      <c r="P19" s="3">
        <v>117</v>
      </c>
      <c r="Q19" s="3">
        <v>6.5</v>
      </c>
      <c r="R19" s="3">
        <v>3</v>
      </c>
      <c r="S19" s="3">
        <v>5.5</v>
      </c>
      <c r="T19" s="3">
        <v>1.8</v>
      </c>
      <c r="U19" s="3" t="s">
        <v>13</v>
      </c>
    </row>
    <row r="20" spans="2:21" x14ac:dyDescent="0.25">
      <c r="B20" s="3">
        <v>18</v>
      </c>
      <c r="C20" s="3">
        <v>5.0999999999999996</v>
      </c>
      <c r="D20" s="3">
        <v>3.5</v>
      </c>
      <c r="E20" s="3">
        <v>1.4</v>
      </c>
      <c r="F20" s="3">
        <v>0.3</v>
      </c>
      <c r="G20" s="3" t="s">
        <v>6</v>
      </c>
      <c r="I20" s="3">
        <v>68</v>
      </c>
      <c r="J20" s="3">
        <v>5.8</v>
      </c>
      <c r="K20" s="3">
        <v>2.7</v>
      </c>
      <c r="L20" s="3">
        <v>4.0999999999999996</v>
      </c>
      <c r="M20" s="3">
        <v>1</v>
      </c>
      <c r="N20" s="3" t="s">
        <v>12</v>
      </c>
      <c r="P20" s="3">
        <v>118</v>
      </c>
      <c r="Q20" s="3">
        <v>7.7</v>
      </c>
      <c r="R20" s="3">
        <v>3.8</v>
      </c>
      <c r="S20" s="3">
        <v>6.7</v>
      </c>
      <c r="T20" s="3">
        <v>2.2000000000000002</v>
      </c>
      <c r="U20" s="3" t="s">
        <v>13</v>
      </c>
    </row>
    <row r="21" spans="2:21" x14ac:dyDescent="0.25">
      <c r="B21" s="3">
        <v>19</v>
      </c>
      <c r="C21" s="3">
        <v>5.7</v>
      </c>
      <c r="D21" s="3">
        <v>3.8</v>
      </c>
      <c r="E21" s="3">
        <v>1.7</v>
      </c>
      <c r="F21" s="3">
        <v>0.3</v>
      </c>
      <c r="G21" s="3" t="s">
        <v>6</v>
      </c>
      <c r="I21" s="3">
        <v>69</v>
      </c>
      <c r="J21" s="3">
        <v>6.2</v>
      </c>
      <c r="K21" s="3">
        <v>2.2000000000000002</v>
      </c>
      <c r="L21" s="3">
        <v>4.5</v>
      </c>
      <c r="M21" s="3">
        <v>1.5</v>
      </c>
      <c r="N21" s="3" t="s">
        <v>12</v>
      </c>
      <c r="P21" s="3">
        <v>119</v>
      </c>
      <c r="Q21" s="3">
        <v>7.7</v>
      </c>
      <c r="R21" s="3">
        <v>2.6</v>
      </c>
      <c r="S21" s="3">
        <v>6.9</v>
      </c>
      <c r="T21" s="3">
        <v>2.2999999999999998</v>
      </c>
      <c r="U21" s="3" t="s">
        <v>13</v>
      </c>
    </row>
    <row r="22" spans="2:21" x14ac:dyDescent="0.25">
      <c r="B22" s="3">
        <v>20</v>
      </c>
      <c r="C22" s="3">
        <v>5.0999999999999996</v>
      </c>
      <c r="D22" s="3">
        <v>3.8</v>
      </c>
      <c r="E22" s="3">
        <v>1.5</v>
      </c>
      <c r="F22" s="3">
        <v>0.3</v>
      </c>
      <c r="G22" s="3" t="s">
        <v>6</v>
      </c>
      <c r="I22" s="3">
        <v>70</v>
      </c>
      <c r="J22" s="3">
        <v>5.6</v>
      </c>
      <c r="K22" s="3">
        <v>2.5</v>
      </c>
      <c r="L22" s="3">
        <v>3.9</v>
      </c>
      <c r="M22" s="3">
        <v>1.1000000000000001</v>
      </c>
      <c r="N22" s="3" t="s">
        <v>12</v>
      </c>
      <c r="P22" s="3">
        <v>120</v>
      </c>
      <c r="Q22" s="3">
        <v>6</v>
      </c>
      <c r="R22" s="3">
        <v>2.2000000000000002</v>
      </c>
      <c r="S22" s="3">
        <v>5</v>
      </c>
      <c r="T22" s="3">
        <v>1.5</v>
      </c>
      <c r="U22" s="3" t="s">
        <v>13</v>
      </c>
    </row>
    <row r="23" spans="2:21" x14ac:dyDescent="0.25">
      <c r="B23" s="3">
        <v>21</v>
      </c>
      <c r="C23" s="3">
        <v>5.4</v>
      </c>
      <c r="D23" s="3">
        <v>3.4</v>
      </c>
      <c r="E23" s="3">
        <v>1.7</v>
      </c>
      <c r="F23" s="3">
        <v>0.2</v>
      </c>
      <c r="G23" s="3" t="s">
        <v>6</v>
      </c>
      <c r="I23" s="3">
        <v>71</v>
      </c>
      <c r="J23" s="3">
        <v>5.9</v>
      </c>
      <c r="K23" s="3">
        <v>3.2</v>
      </c>
      <c r="L23" s="3">
        <v>4.8</v>
      </c>
      <c r="M23" s="3">
        <v>1.8</v>
      </c>
      <c r="N23" s="3" t="s">
        <v>12</v>
      </c>
      <c r="P23" s="3">
        <v>121</v>
      </c>
      <c r="Q23" s="3">
        <v>6.9</v>
      </c>
      <c r="R23" s="3">
        <v>3.2</v>
      </c>
      <c r="S23" s="3">
        <v>5.7</v>
      </c>
      <c r="T23" s="3">
        <v>2.2999999999999998</v>
      </c>
      <c r="U23" s="3" t="s">
        <v>13</v>
      </c>
    </row>
    <row r="24" spans="2:21" x14ac:dyDescent="0.25">
      <c r="B24" s="3">
        <v>22</v>
      </c>
      <c r="C24" s="3">
        <v>5.0999999999999996</v>
      </c>
      <c r="D24" s="3">
        <v>3.7</v>
      </c>
      <c r="E24" s="3">
        <v>1.5</v>
      </c>
      <c r="F24" s="3">
        <v>0.4</v>
      </c>
      <c r="G24" s="3" t="s">
        <v>6</v>
      </c>
      <c r="I24" s="3">
        <v>72</v>
      </c>
      <c r="J24" s="3">
        <v>6.1</v>
      </c>
      <c r="K24" s="3">
        <v>2.8</v>
      </c>
      <c r="L24" s="3">
        <v>4</v>
      </c>
      <c r="M24" s="3">
        <v>1.3</v>
      </c>
      <c r="N24" s="3" t="s">
        <v>12</v>
      </c>
      <c r="P24" s="3">
        <v>122</v>
      </c>
      <c r="Q24" s="3">
        <v>5.6</v>
      </c>
      <c r="R24" s="3">
        <v>2.8</v>
      </c>
      <c r="S24" s="3">
        <v>4.9000000000000004</v>
      </c>
      <c r="T24" s="3">
        <v>2</v>
      </c>
      <c r="U24" s="3" t="s">
        <v>13</v>
      </c>
    </row>
    <row r="25" spans="2:21" x14ac:dyDescent="0.25">
      <c r="B25" s="3">
        <v>23</v>
      </c>
      <c r="C25" s="3">
        <v>4.5999999999999996</v>
      </c>
      <c r="D25" s="3">
        <v>3.6</v>
      </c>
      <c r="E25" s="3">
        <v>1</v>
      </c>
      <c r="F25" s="3">
        <v>0.2</v>
      </c>
      <c r="G25" s="3" t="s">
        <v>6</v>
      </c>
      <c r="I25" s="3">
        <v>73</v>
      </c>
      <c r="J25" s="3">
        <v>6.3</v>
      </c>
      <c r="K25" s="3">
        <v>2.5</v>
      </c>
      <c r="L25" s="3">
        <v>4.9000000000000004</v>
      </c>
      <c r="M25" s="3">
        <v>1.5</v>
      </c>
      <c r="N25" s="3" t="s">
        <v>12</v>
      </c>
      <c r="P25" s="3">
        <v>123</v>
      </c>
      <c r="Q25" s="3">
        <v>7.7</v>
      </c>
      <c r="R25" s="3">
        <v>2.8</v>
      </c>
      <c r="S25" s="3">
        <v>6.7</v>
      </c>
      <c r="T25" s="3">
        <v>2</v>
      </c>
      <c r="U25" s="3" t="s">
        <v>13</v>
      </c>
    </row>
    <row r="26" spans="2:21" x14ac:dyDescent="0.25">
      <c r="B26" s="3">
        <v>24</v>
      </c>
      <c r="C26" s="3">
        <v>5.0999999999999996</v>
      </c>
      <c r="D26" s="3">
        <v>3.3</v>
      </c>
      <c r="E26" s="3">
        <v>1.7</v>
      </c>
      <c r="F26" s="3">
        <v>0.5</v>
      </c>
      <c r="G26" s="3" t="s">
        <v>6</v>
      </c>
      <c r="I26" s="3">
        <v>74</v>
      </c>
      <c r="J26" s="3">
        <v>6.1</v>
      </c>
      <c r="K26" s="3">
        <v>2.8</v>
      </c>
      <c r="L26" s="3">
        <v>4.7</v>
      </c>
      <c r="M26" s="3">
        <v>1.2</v>
      </c>
      <c r="N26" s="3" t="s">
        <v>12</v>
      </c>
      <c r="P26" s="3">
        <v>124</v>
      </c>
      <c r="Q26" s="3">
        <v>6.3</v>
      </c>
      <c r="R26" s="3">
        <v>2.7</v>
      </c>
      <c r="S26" s="3">
        <v>4.9000000000000004</v>
      </c>
      <c r="T26" s="3">
        <v>1.8</v>
      </c>
      <c r="U26" s="3" t="s">
        <v>13</v>
      </c>
    </row>
    <row r="27" spans="2:21" x14ac:dyDescent="0.25">
      <c r="B27" s="3">
        <v>25</v>
      </c>
      <c r="C27" s="3">
        <v>4.8</v>
      </c>
      <c r="D27" s="3">
        <v>3.4</v>
      </c>
      <c r="E27" s="3">
        <v>1.9</v>
      </c>
      <c r="F27" s="3">
        <v>0.2</v>
      </c>
      <c r="G27" s="3" t="s">
        <v>6</v>
      </c>
      <c r="I27" s="3">
        <v>75</v>
      </c>
      <c r="J27" s="3">
        <v>6.4</v>
      </c>
      <c r="K27" s="3">
        <v>2.9</v>
      </c>
      <c r="L27" s="3">
        <v>4.3</v>
      </c>
      <c r="M27" s="3">
        <v>1.3</v>
      </c>
      <c r="N27" s="3" t="s">
        <v>12</v>
      </c>
      <c r="P27" s="3">
        <v>125</v>
      </c>
      <c r="Q27" s="3">
        <v>6.7</v>
      </c>
      <c r="R27" s="3">
        <v>3.3</v>
      </c>
      <c r="S27" s="3">
        <v>5.7</v>
      </c>
      <c r="T27" s="3">
        <v>2.1</v>
      </c>
      <c r="U27" s="3" t="s">
        <v>13</v>
      </c>
    </row>
    <row r="28" spans="2:21" x14ac:dyDescent="0.25">
      <c r="B28" s="3">
        <v>26</v>
      </c>
      <c r="C28" s="3">
        <v>5</v>
      </c>
      <c r="D28" s="3">
        <v>3</v>
      </c>
      <c r="E28" s="3">
        <v>1.6</v>
      </c>
      <c r="F28" s="3">
        <v>0.2</v>
      </c>
      <c r="G28" s="3" t="s">
        <v>6</v>
      </c>
      <c r="I28" s="3">
        <v>76</v>
      </c>
      <c r="J28" s="3">
        <v>6.6</v>
      </c>
      <c r="K28" s="3">
        <v>3</v>
      </c>
      <c r="L28" s="3">
        <v>4.4000000000000004</v>
      </c>
      <c r="M28" s="3">
        <v>1.4</v>
      </c>
      <c r="N28" s="3" t="s">
        <v>12</v>
      </c>
      <c r="P28" s="3">
        <v>126</v>
      </c>
      <c r="Q28" s="3">
        <v>7.2</v>
      </c>
      <c r="R28" s="3">
        <v>3.2</v>
      </c>
      <c r="S28" s="3">
        <v>6</v>
      </c>
      <c r="T28" s="3">
        <v>1.8</v>
      </c>
      <c r="U28" s="3" t="s">
        <v>13</v>
      </c>
    </row>
    <row r="29" spans="2:21" x14ac:dyDescent="0.25">
      <c r="B29" s="3">
        <v>27</v>
      </c>
      <c r="C29" s="3">
        <v>5</v>
      </c>
      <c r="D29" s="3">
        <v>3.4</v>
      </c>
      <c r="E29" s="3">
        <v>1.6</v>
      </c>
      <c r="F29" s="3">
        <v>0.4</v>
      </c>
      <c r="G29" s="3" t="s">
        <v>6</v>
      </c>
      <c r="I29" s="3">
        <v>77</v>
      </c>
      <c r="J29" s="3">
        <v>6.8</v>
      </c>
      <c r="K29" s="3">
        <v>2.8</v>
      </c>
      <c r="L29" s="3">
        <v>4.8</v>
      </c>
      <c r="M29" s="3">
        <v>1.4</v>
      </c>
      <c r="N29" s="3" t="s">
        <v>12</v>
      </c>
      <c r="P29" s="3">
        <v>127</v>
      </c>
      <c r="Q29" s="3">
        <v>6.2</v>
      </c>
      <c r="R29" s="3">
        <v>2.8</v>
      </c>
      <c r="S29" s="3">
        <v>4.8</v>
      </c>
      <c r="T29" s="3">
        <v>1.8</v>
      </c>
      <c r="U29" s="3" t="s">
        <v>13</v>
      </c>
    </row>
    <row r="30" spans="2:21" x14ac:dyDescent="0.25">
      <c r="B30" s="3">
        <v>28</v>
      </c>
      <c r="C30" s="3">
        <v>5.2</v>
      </c>
      <c r="D30" s="3">
        <v>3.5</v>
      </c>
      <c r="E30" s="3">
        <v>1.5</v>
      </c>
      <c r="F30" s="3">
        <v>0.2</v>
      </c>
      <c r="G30" s="3" t="s">
        <v>6</v>
      </c>
      <c r="I30" s="3">
        <v>78</v>
      </c>
      <c r="J30" s="3">
        <v>6.7</v>
      </c>
      <c r="K30" s="3">
        <v>3</v>
      </c>
      <c r="L30" s="3">
        <v>5</v>
      </c>
      <c r="M30" s="3">
        <v>1.7</v>
      </c>
      <c r="N30" s="3" t="s">
        <v>12</v>
      </c>
      <c r="P30" s="3">
        <v>128</v>
      </c>
      <c r="Q30" s="3">
        <v>6.1</v>
      </c>
      <c r="R30" s="3">
        <v>3</v>
      </c>
      <c r="S30" s="3">
        <v>4.9000000000000004</v>
      </c>
      <c r="T30" s="3">
        <v>1.8</v>
      </c>
      <c r="U30" s="3" t="s">
        <v>13</v>
      </c>
    </row>
    <row r="31" spans="2:21" x14ac:dyDescent="0.25">
      <c r="B31" s="3">
        <v>29</v>
      </c>
      <c r="C31" s="3">
        <v>5.2</v>
      </c>
      <c r="D31" s="3">
        <v>3.4</v>
      </c>
      <c r="E31" s="3">
        <v>1.4</v>
      </c>
      <c r="F31" s="3">
        <v>0.2</v>
      </c>
      <c r="G31" s="3" t="s">
        <v>6</v>
      </c>
      <c r="I31" s="3">
        <v>79</v>
      </c>
      <c r="J31" s="3">
        <v>6</v>
      </c>
      <c r="K31" s="3">
        <v>2.9</v>
      </c>
      <c r="L31" s="3">
        <v>4.5</v>
      </c>
      <c r="M31" s="3">
        <v>1.5</v>
      </c>
      <c r="N31" s="3" t="s">
        <v>12</v>
      </c>
      <c r="P31" s="3">
        <v>129</v>
      </c>
      <c r="Q31" s="3">
        <v>6.4</v>
      </c>
      <c r="R31" s="3">
        <v>2.8</v>
      </c>
      <c r="S31" s="3">
        <v>5.6</v>
      </c>
      <c r="T31" s="3">
        <v>2.1</v>
      </c>
      <c r="U31" s="3" t="s">
        <v>13</v>
      </c>
    </row>
    <row r="32" spans="2:21" x14ac:dyDescent="0.25">
      <c r="B32" s="3">
        <v>30</v>
      </c>
      <c r="C32" s="3">
        <v>4.7</v>
      </c>
      <c r="D32" s="3">
        <v>3.2</v>
      </c>
      <c r="E32" s="3">
        <v>1.6</v>
      </c>
      <c r="F32" s="3">
        <v>0.2</v>
      </c>
      <c r="G32" s="3" t="s">
        <v>6</v>
      </c>
      <c r="I32" s="3">
        <v>80</v>
      </c>
      <c r="J32" s="3">
        <v>5.7</v>
      </c>
      <c r="K32" s="3">
        <v>2.6</v>
      </c>
      <c r="L32" s="3">
        <v>3.5</v>
      </c>
      <c r="M32" s="3">
        <v>1</v>
      </c>
      <c r="N32" s="3" t="s">
        <v>12</v>
      </c>
      <c r="P32" s="3">
        <v>130</v>
      </c>
      <c r="Q32" s="3">
        <v>7.2</v>
      </c>
      <c r="R32" s="3">
        <v>3</v>
      </c>
      <c r="S32" s="3">
        <v>5.8</v>
      </c>
      <c r="T32" s="3">
        <v>1.6</v>
      </c>
      <c r="U32" s="3" t="s">
        <v>13</v>
      </c>
    </row>
    <row r="33" spans="2:21" x14ac:dyDescent="0.25">
      <c r="B33" s="3">
        <v>31</v>
      </c>
      <c r="C33" s="3">
        <v>4.8</v>
      </c>
      <c r="D33" s="3">
        <v>3.1</v>
      </c>
      <c r="E33" s="3">
        <v>1.6</v>
      </c>
      <c r="F33" s="3">
        <v>0.2</v>
      </c>
      <c r="G33" s="3" t="s">
        <v>6</v>
      </c>
      <c r="I33" s="3">
        <v>81</v>
      </c>
      <c r="J33" s="3">
        <v>5.5</v>
      </c>
      <c r="K33" s="3">
        <v>2.4</v>
      </c>
      <c r="L33" s="3">
        <v>3.8</v>
      </c>
      <c r="M33" s="3">
        <v>1.1000000000000001</v>
      </c>
      <c r="N33" s="3" t="s">
        <v>12</v>
      </c>
      <c r="P33" s="3">
        <v>131</v>
      </c>
      <c r="Q33" s="3">
        <v>7.4</v>
      </c>
      <c r="R33" s="3">
        <v>2.8</v>
      </c>
      <c r="S33" s="3">
        <v>6.1</v>
      </c>
      <c r="T33" s="3">
        <v>1.9</v>
      </c>
      <c r="U33" s="3" t="s">
        <v>13</v>
      </c>
    </row>
    <row r="34" spans="2:21" x14ac:dyDescent="0.25">
      <c r="B34" s="3">
        <v>32</v>
      </c>
      <c r="C34" s="3">
        <v>5.4</v>
      </c>
      <c r="D34" s="3">
        <v>3.4</v>
      </c>
      <c r="E34" s="3">
        <v>1.5</v>
      </c>
      <c r="F34" s="3">
        <v>0.4</v>
      </c>
      <c r="G34" s="3" t="s">
        <v>6</v>
      </c>
      <c r="I34" s="3">
        <v>82</v>
      </c>
      <c r="J34" s="3">
        <v>5.5</v>
      </c>
      <c r="K34" s="3">
        <v>2.4</v>
      </c>
      <c r="L34" s="3">
        <v>3.7</v>
      </c>
      <c r="M34" s="3">
        <v>1</v>
      </c>
      <c r="N34" s="3" t="s">
        <v>12</v>
      </c>
      <c r="P34" s="3">
        <v>132</v>
      </c>
      <c r="Q34" s="3">
        <v>7.9</v>
      </c>
      <c r="R34" s="3">
        <v>3.8</v>
      </c>
      <c r="S34" s="3">
        <v>6.4</v>
      </c>
      <c r="T34" s="3">
        <v>2</v>
      </c>
      <c r="U34" s="3" t="s">
        <v>13</v>
      </c>
    </row>
    <row r="35" spans="2:21" x14ac:dyDescent="0.25">
      <c r="B35" s="3">
        <v>33</v>
      </c>
      <c r="C35" s="3">
        <v>5.2</v>
      </c>
      <c r="D35" s="3">
        <v>4.0999999999999996</v>
      </c>
      <c r="E35" s="3">
        <v>1.5</v>
      </c>
      <c r="F35" s="3">
        <v>0.1</v>
      </c>
      <c r="G35" s="3" t="s">
        <v>6</v>
      </c>
      <c r="I35" s="3">
        <v>83</v>
      </c>
      <c r="J35" s="3">
        <v>5.8</v>
      </c>
      <c r="K35" s="3">
        <v>2.7</v>
      </c>
      <c r="L35" s="3">
        <v>3.9</v>
      </c>
      <c r="M35" s="3">
        <v>1.2</v>
      </c>
      <c r="N35" s="3" t="s">
        <v>12</v>
      </c>
      <c r="P35" s="3">
        <v>133</v>
      </c>
      <c r="Q35" s="3">
        <v>6.4</v>
      </c>
      <c r="R35" s="3">
        <v>2.8</v>
      </c>
      <c r="S35" s="3">
        <v>5.6</v>
      </c>
      <c r="T35" s="3">
        <v>2.2000000000000002</v>
      </c>
      <c r="U35" s="3" t="s">
        <v>13</v>
      </c>
    </row>
    <row r="36" spans="2:21" x14ac:dyDescent="0.25">
      <c r="B36" s="3">
        <v>34</v>
      </c>
      <c r="C36" s="3">
        <v>5.5</v>
      </c>
      <c r="D36" s="3">
        <v>4.2</v>
      </c>
      <c r="E36" s="3">
        <v>1.4</v>
      </c>
      <c r="F36" s="3">
        <v>0.2</v>
      </c>
      <c r="G36" s="3" t="s">
        <v>6</v>
      </c>
      <c r="I36" s="3">
        <v>84</v>
      </c>
      <c r="J36" s="3">
        <v>6</v>
      </c>
      <c r="K36" s="3">
        <v>2.7</v>
      </c>
      <c r="L36" s="3">
        <v>5.0999999999999996</v>
      </c>
      <c r="M36" s="3">
        <v>1.6</v>
      </c>
      <c r="N36" s="3" t="s">
        <v>12</v>
      </c>
      <c r="P36" s="3">
        <v>134</v>
      </c>
      <c r="Q36" s="3">
        <v>6.3</v>
      </c>
      <c r="R36" s="3">
        <v>2.8</v>
      </c>
      <c r="S36" s="3">
        <v>5.0999999999999996</v>
      </c>
      <c r="T36" s="3">
        <v>1.5</v>
      </c>
      <c r="U36" s="3" t="s">
        <v>13</v>
      </c>
    </row>
    <row r="37" spans="2:21" x14ac:dyDescent="0.25">
      <c r="B37" s="3">
        <v>35</v>
      </c>
      <c r="C37" s="3">
        <v>4.9000000000000004</v>
      </c>
      <c r="D37" s="3">
        <v>3.1</v>
      </c>
      <c r="E37" s="3">
        <v>1.5</v>
      </c>
      <c r="F37" s="3">
        <v>0.2</v>
      </c>
      <c r="G37" s="3" t="s">
        <v>6</v>
      </c>
      <c r="I37" s="3">
        <v>85</v>
      </c>
      <c r="J37" s="3">
        <v>5.4</v>
      </c>
      <c r="K37" s="3">
        <v>3</v>
      </c>
      <c r="L37" s="3">
        <v>4.5</v>
      </c>
      <c r="M37" s="3">
        <v>1.5</v>
      </c>
      <c r="N37" s="3" t="s">
        <v>12</v>
      </c>
      <c r="P37" s="3">
        <v>135</v>
      </c>
      <c r="Q37" s="3">
        <v>6.1</v>
      </c>
      <c r="R37" s="3">
        <v>2.6</v>
      </c>
      <c r="S37" s="3">
        <v>5.6</v>
      </c>
      <c r="T37" s="3">
        <v>1.4</v>
      </c>
      <c r="U37" s="3" t="s">
        <v>13</v>
      </c>
    </row>
    <row r="38" spans="2:21" x14ac:dyDescent="0.25">
      <c r="B38" s="3">
        <v>36</v>
      </c>
      <c r="C38" s="3">
        <v>5</v>
      </c>
      <c r="D38" s="3">
        <v>3.2</v>
      </c>
      <c r="E38" s="3">
        <v>1.2</v>
      </c>
      <c r="F38" s="3">
        <v>0.2</v>
      </c>
      <c r="G38" s="3" t="s">
        <v>6</v>
      </c>
      <c r="I38" s="3">
        <v>86</v>
      </c>
      <c r="J38" s="3">
        <v>6</v>
      </c>
      <c r="K38" s="3">
        <v>3.4</v>
      </c>
      <c r="L38" s="3">
        <v>4.5</v>
      </c>
      <c r="M38" s="3">
        <v>1.6</v>
      </c>
      <c r="N38" s="3" t="s">
        <v>12</v>
      </c>
      <c r="P38" s="3">
        <v>136</v>
      </c>
      <c r="Q38" s="3">
        <v>7.7</v>
      </c>
      <c r="R38" s="3">
        <v>3</v>
      </c>
      <c r="S38" s="3">
        <v>6.1</v>
      </c>
      <c r="T38" s="3">
        <v>2.2999999999999998</v>
      </c>
      <c r="U38" s="3" t="s">
        <v>13</v>
      </c>
    </row>
    <row r="39" spans="2:21" x14ac:dyDescent="0.25">
      <c r="B39" s="3">
        <v>37</v>
      </c>
      <c r="C39" s="3">
        <v>5.5</v>
      </c>
      <c r="D39" s="3">
        <v>3.5</v>
      </c>
      <c r="E39" s="3">
        <v>1.3</v>
      </c>
      <c r="F39" s="3">
        <v>0.2</v>
      </c>
      <c r="G39" s="3" t="s">
        <v>6</v>
      </c>
      <c r="I39" s="3">
        <v>87</v>
      </c>
      <c r="J39" s="3">
        <v>6.7</v>
      </c>
      <c r="K39" s="3">
        <v>3.1</v>
      </c>
      <c r="L39" s="3">
        <v>4.7</v>
      </c>
      <c r="M39" s="3">
        <v>1.5</v>
      </c>
      <c r="N39" s="3" t="s">
        <v>12</v>
      </c>
      <c r="P39" s="3">
        <v>137</v>
      </c>
      <c r="Q39" s="3">
        <v>6.3</v>
      </c>
      <c r="R39" s="3">
        <v>3.4</v>
      </c>
      <c r="S39" s="3">
        <v>5.6</v>
      </c>
      <c r="T39" s="3">
        <v>2.4</v>
      </c>
      <c r="U39" s="3" t="s">
        <v>13</v>
      </c>
    </row>
    <row r="40" spans="2:21" x14ac:dyDescent="0.25">
      <c r="B40" s="3">
        <v>38</v>
      </c>
      <c r="C40" s="3">
        <v>4.9000000000000004</v>
      </c>
      <c r="D40" s="3">
        <v>3.6</v>
      </c>
      <c r="E40" s="3">
        <v>1.4</v>
      </c>
      <c r="F40" s="3">
        <v>0.1</v>
      </c>
      <c r="G40" s="3" t="s">
        <v>6</v>
      </c>
      <c r="I40" s="3">
        <v>88</v>
      </c>
      <c r="J40" s="3">
        <v>6.3</v>
      </c>
      <c r="K40" s="3">
        <v>2.2999999999999998</v>
      </c>
      <c r="L40" s="3">
        <v>4.4000000000000004</v>
      </c>
      <c r="M40" s="3">
        <v>1.3</v>
      </c>
      <c r="N40" s="3" t="s">
        <v>12</v>
      </c>
      <c r="P40" s="3">
        <v>138</v>
      </c>
      <c r="Q40" s="3">
        <v>6.4</v>
      </c>
      <c r="R40" s="3">
        <v>3.1</v>
      </c>
      <c r="S40" s="3">
        <v>5.5</v>
      </c>
      <c r="T40" s="3">
        <v>1.8</v>
      </c>
      <c r="U40" s="3" t="s">
        <v>13</v>
      </c>
    </row>
    <row r="41" spans="2:21" x14ac:dyDescent="0.25">
      <c r="B41" s="3">
        <v>39</v>
      </c>
      <c r="C41" s="3">
        <v>4.4000000000000004</v>
      </c>
      <c r="D41" s="3">
        <v>3</v>
      </c>
      <c r="E41" s="3">
        <v>1.3</v>
      </c>
      <c r="F41" s="3">
        <v>0.2</v>
      </c>
      <c r="G41" s="3" t="s">
        <v>6</v>
      </c>
      <c r="I41" s="3">
        <v>89</v>
      </c>
      <c r="J41" s="3">
        <v>5.6</v>
      </c>
      <c r="K41" s="3">
        <v>3</v>
      </c>
      <c r="L41" s="3">
        <v>4.0999999999999996</v>
      </c>
      <c r="M41" s="3">
        <v>1.3</v>
      </c>
      <c r="N41" s="3" t="s">
        <v>12</v>
      </c>
      <c r="P41" s="3">
        <v>139</v>
      </c>
      <c r="Q41" s="3">
        <v>6</v>
      </c>
      <c r="R41" s="3">
        <v>3</v>
      </c>
      <c r="S41" s="3">
        <v>4.8</v>
      </c>
      <c r="T41" s="3">
        <v>1.8</v>
      </c>
      <c r="U41" s="3" t="s">
        <v>13</v>
      </c>
    </row>
    <row r="42" spans="2:21" x14ac:dyDescent="0.25">
      <c r="B42" s="3">
        <v>40</v>
      </c>
      <c r="C42" s="3">
        <v>5.0999999999999996</v>
      </c>
      <c r="D42" s="3">
        <v>3.4</v>
      </c>
      <c r="E42" s="3">
        <v>1.5</v>
      </c>
      <c r="F42" s="3">
        <v>0.2</v>
      </c>
      <c r="G42" s="3" t="s">
        <v>6</v>
      </c>
      <c r="I42" s="3">
        <v>90</v>
      </c>
      <c r="J42" s="3">
        <v>5.5</v>
      </c>
      <c r="K42" s="3">
        <v>2.5</v>
      </c>
      <c r="L42" s="3">
        <v>4</v>
      </c>
      <c r="M42" s="3">
        <v>1.3</v>
      </c>
      <c r="N42" s="3" t="s">
        <v>12</v>
      </c>
      <c r="P42" s="3">
        <v>140</v>
      </c>
      <c r="Q42" s="3">
        <v>6.9</v>
      </c>
      <c r="R42" s="3">
        <v>3.1</v>
      </c>
      <c r="S42" s="3">
        <v>5.4</v>
      </c>
      <c r="T42" s="3">
        <v>2.1</v>
      </c>
      <c r="U42" s="3" t="s">
        <v>13</v>
      </c>
    </row>
    <row r="43" spans="2:21" x14ac:dyDescent="0.25">
      <c r="B43" s="3">
        <v>41</v>
      </c>
      <c r="C43" s="3">
        <v>5</v>
      </c>
      <c r="D43" s="3">
        <v>3.5</v>
      </c>
      <c r="E43" s="3">
        <v>1.3</v>
      </c>
      <c r="F43" s="3">
        <v>0.3</v>
      </c>
      <c r="G43" s="3" t="s">
        <v>6</v>
      </c>
      <c r="I43" s="3">
        <v>91</v>
      </c>
      <c r="J43" s="3">
        <v>5.5</v>
      </c>
      <c r="K43" s="3">
        <v>2.6</v>
      </c>
      <c r="L43" s="3">
        <v>4.4000000000000004</v>
      </c>
      <c r="M43" s="3">
        <v>1.2</v>
      </c>
      <c r="N43" s="3" t="s">
        <v>12</v>
      </c>
      <c r="P43" s="3">
        <v>141</v>
      </c>
      <c r="Q43" s="3">
        <v>6.7</v>
      </c>
      <c r="R43" s="3">
        <v>3.1</v>
      </c>
      <c r="S43" s="3">
        <v>5.6</v>
      </c>
      <c r="T43" s="3">
        <v>2.4</v>
      </c>
      <c r="U43" s="3" t="s">
        <v>13</v>
      </c>
    </row>
    <row r="44" spans="2:21" x14ac:dyDescent="0.25">
      <c r="B44" s="3">
        <v>42</v>
      </c>
      <c r="C44" s="3">
        <v>4.5</v>
      </c>
      <c r="D44" s="3">
        <v>2.2999999999999998</v>
      </c>
      <c r="E44" s="3">
        <v>1.3</v>
      </c>
      <c r="F44" s="3">
        <v>0.3</v>
      </c>
      <c r="G44" s="3" t="s">
        <v>6</v>
      </c>
      <c r="I44" s="3">
        <v>92</v>
      </c>
      <c r="J44" s="3">
        <v>6.1</v>
      </c>
      <c r="K44" s="3">
        <v>3</v>
      </c>
      <c r="L44" s="3">
        <v>4.5999999999999996</v>
      </c>
      <c r="M44" s="3">
        <v>1.4</v>
      </c>
      <c r="N44" s="3" t="s">
        <v>12</v>
      </c>
      <c r="P44" s="3">
        <v>142</v>
      </c>
      <c r="Q44" s="3">
        <v>6.9</v>
      </c>
      <c r="R44" s="3">
        <v>3.1</v>
      </c>
      <c r="S44" s="3">
        <v>5.0999999999999996</v>
      </c>
      <c r="T44" s="3">
        <v>2.2999999999999998</v>
      </c>
      <c r="U44" s="3" t="s">
        <v>13</v>
      </c>
    </row>
    <row r="45" spans="2:21" x14ac:dyDescent="0.25">
      <c r="B45" s="3">
        <v>43</v>
      </c>
      <c r="C45" s="3">
        <v>4.4000000000000004</v>
      </c>
      <c r="D45" s="3">
        <v>3.2</v>
      </c>
      <c r="E45" s="3">
        <v>1.3</v>
      </c>
      <c r="F45" s="3">
        <v>0.2</v>
      </c>
      <c r="G45" s="3" t="s">
        <v>6</v>
      </c>
      <c r="I45" s="3">
        <v>93</v>
      </c>
      <c r="J45" s="3">
        <v>5.8</v>
      </c>
      <c r="K45" s="3">
        <v>2.6</v>
      </c>
      <c r="L45" s="3">
        <v>4</v>
      </c>
      <c r="M45" s="3">
        <v>1.2</v>
      </c>
      <c r="N45" s="3" t="s">
        <v>12</v>
      </c>
      <c r="P45" s="3">
        <v>143</v>
      </c>
      <c r="Q45" s="3">
        <v>5.8</v>
      </c>
      <c r="R45" s="3">
        <v>2.7</v>
      </c>
      <c r="S45" s="3">
        <v>5.0999999999999996</v>
      </c>
      <c r="T45" s="3">
        <v>1.9</v>
      </c>
      <c r="U45" s="3" t="s">
        <v>13</v>
      </c>
    </row>
    <row r="46" spans="2:21" x14ac:dyDescent="0.25">
      <c r="B46" s="3">
        <v>44</v>
      </c>
      <c r="C46" s="3">
        <v>5</v>
      </c>
      <c r="D46" s="3">
        <v>3.5</v>
      </c>
      <c r="E46" s="3">
        <v>1.6</v>
      </c>
      <c r="F46" s="3">
        <v>0.6</v>
      </c>
      <c r="G46" s="3" t="s">
        <v>6</v>
      </c>
      <c r="I46" s="3">
        <v>94</v>
      </c>
      <c r="J46" s="3">
        <v>5</v>
      </c>
      <c r="K46" s="3">
        <v>2.2999999999999998</v>
      </c>
      <c r="L46" s="3">
        <v>3.3</v>
      </c>
      <c r="M46" s="3">
        <v>1</v>
      </c>
      <c r="N46" s="3" t="s">
        <v>12</v>
      </c>
      <c r="P46" s="3">
        <v>144</v>
      </c>
      <c r="Q46" s="3">
        <v>6.8</v>
      </c>
      <c r="R46" s="3">
        <v>3.2</v>
      </c>
      <c r="S46" s="3">
        <v>5.9</v>
      </c>
      <c r="T46" s="3">
        <v>2.2999999999999998</v>
      </c>
      <c r="U46" s="3" t="s">
        <v>13</v>
      </c>
    </row>
    <row r="47" spans="2:21" x14ac:dyDescent="0.25">
      <c r="B47" s="3">
        <v>45</v>
      </c>
      <c r="C47" s="3">
        <v>5.0999999999999996</v>
      </c>
      <c r="D47" s="3">
        <v>3.8</v>
      </c>
      <c r="E47" s="3">
        <v>1.9</v>
      </c>
      <c r="F47" s="3">
        <v>0.4</v>
      </c>
      <c r="G47" s="3" t="s">
        <v>6</v>
      </c>
      <c r="I47" s="3">
        <v>95</v>
      </c>
      <c r="J47" s="3">
        <v>5.6</v>
      </c>
      <c r="K47" s="3">
        <v>2.7</v>
      </c>
      <c r="L47" s="3">
        <v>4.2</v>
      </c>
      <c r="M47" s="3">
        <v>1.3</v>
      </c>
      <c r="N47" s="3" t="s">
        <v>12</v>
      </c>
      <c r="P47" s="3">
        <v>145</v>
      </c>
      <c r="Q47" s="3">
        <v>6.7</v>
      </c>
      <c r="R47" s="3">
        <v>3.3</v>
      </c>
      <c r="S47" s="3">
        <v>5.7</v>
      </c>
      <c r="T47" s="3">
        <v>2.5</v>
      </c>
      <c r="U47" s="3" t="s">
        <v>13</v>
      </c>
    </row>
    <row r="48" spans="2:21" x14ac:dyDescent="0.25">
      <c r="B48" s="3">
        <v>46</v>
      </c>
      <c r="C48" s="3">
        <v>4.8</v>
      </c>
      <c r="D48" s="3">
        <v>3</v>
      </c>
      <c r="E48" s="3">
        <v>1.4</v>
      </c>
      <c r="F48" s="3">
        <v>0.3</v>
      </c>
      <c r="G48" s="3" t="s">
        <v>6</v>
      </c>
      <c r="I48" s="3">
        <v>96</v>
      </c>
      <c r="J48" s="3">
        <v>5.7</v>
      </c>
      <c r="K48" s="3">
        <v>3</v>
      </c>
      <c r="L48" s="3">
        <v>4.2</v>
      </c>
      <c r="M48" s="3">
        <v>1.2</v>
      </c>
      <c r="N48" s="3" t="s">
        <v>12</v>
      </c>
      <c r="P48" s="3">
        <v>146</v>
      </c>
      <c r="Q48" s="3">
        <v>6.7</v>
      </c>
      <c r="R48" s="3">
        <v>3</v>
      </c>
      <c r="S48" s="3">
        <v>5.2</v>
      </c>
      <c r="T48" s="3">
        <v>2.2999999999999998</v>
      </c>
      <c r="U48" s="3" t="s">
        <v>13</v>
      </c>
    </row>
    <row r="49" spans="2:27" x14ac:dyDescent="0.25">
      <c r="B49" s="3">
        <v>47</v>
      </c>
      <c r="C49" s="3">
        <v>5.0999999999999996</v>
      </c>
      <c r="D49" s="3">
        <v>3.8</v>
      </c>
      <c r="E49" s="3">
        <v>1.6</v>
      </c>
      <c r="F49" s="3">
        <v>0.2</v>
      </c>
      <c r="G49" s="3" t="s">
        <v>6</v>
      </c>
      <c r="I49" s="3">
        <v>97</v>
      </c>
      <c r="J49" s="3">
        <v>5.7</v>
      </c>
      <c r="K49" s="3">
        <v>2.9</v>
      </c>
      <c r="L49" s="3">
        <v>4.2</v>
      </c>
      <c r="M49" s="3">
        <v>1.3</v>
      </c>
      <c r="N49" s="3" t="s">
        <v>12</v>
      </c>
      <c r="P49" s="3">
        <v>147</v>
      </c>
      <c r="Q49" s="3">
        <v>6.3</v>
      </c>
      <c r="R49" s="3">
        <v>2.5</v>
      </c>
      <c r="S49" s="3">
        <v>5</v>
      </c>
      <c r="T49" s="3">
        <v>1.9</v>
      </c>
      <c r="U49" s="3" t="s">
        <v>13</v>
      </c>
    </row>
    <row r="50" spans="2:27" x14ac:dyDescent="0.25">
      <c r="B50" s="3">
        <v>48</v>
      </c>
      <c r="C50" s="3">
        <v>4.5999999999999996</v>
      </c>
      <c r="D50" s="3">
        <v>3.2</v>
      </c>
      <c r="E50" s="3">
        <v>1.4</v>
      </c>
      <c r="F50" s="3">
        <v>0.2</v>
      </c>
      <c r="G50" s="3" t="s">
        <v>6</v>
      </c>
      <c r="I50" s="3">
        <v>98</v>
      </c>
      <c r="J50" s="3">
        <v>6.2</v>
      </c>
      <c r="K50" s="3">
        <v>2.9</v>
      </c>
      <c r="L50" s="3">
        <v>4.3</v>
      </c>
      <c r="M50" s="3">
        <v>1.3</v>
      </c>
      <c r="N50" s="3" t="s">
        <v>12</v>
      </c>
      <c r="P50" s="3">
        <v>148</v>
      </c>
      <c r="Q50" s="3">
        <v>6.5</v>
      </c>
      <c r="R50" s="3">
        <v>3</v>
      </c>
      <c r="S50" s="3">
        <v>5.2</v>
      </c>
      <c r="T50" s="3">
        <v>2</v>
      </c>
      <c r="U50" s="3" t="s">
        <v>13</v>
      </c>
    </row>
    <row r="51" spans="2:27" x14ac:dyDescent="0.25">
      <c r="B51" s="3">
        <v>49</v>
      </c>
      <c r="C51" s="3">
        <v>5.3</v>
      </c>
      <c r="D51" s="3">
        <v>3.7</v>
      </c>
      <c r="E51" s="3">
        <v>1.5</v>
      </c>
      <c r="F51" s="3">
        <v>0.2</v>
      </c>
      <c r="G51" s="3" t="s">
        <v>6</v>
      </c>
      <c r="I51" s="3">
        <v>99</v>
      </c>
      <c r="J51" s="3">
        <v>5.0999999999999996</v>
      </c>
      <c r="K51" s="3">
        <v>2.5</v>
      </c>
      <c r="L51" s="3">
        <v>3</v>
      </c>
      <c r="M51" s="3">
        <v>1.1000000000000001</v>
      </c>
      <c r="N51" s="3" t="s">
        <v>12</v>
      </c>
      <c r="P51" s="3">
        <v>149</v>
      </c>
      <c r="Q51" s="3">
        <v>6.2</v>
      </c>
      <c r="R51" s="3">
        <v>3.4</v>
      </c>
      <c r="S51" s="3">
        <v>5.4</v>
      </c>
      <c r="T51" s="3">
        <v>2.2999999999999998</v>
      </c>
      <c r="U51" s="3" t="s">
        <v>13</v>
      </c>
    </row>
    <row r="52" spans="2:27" ht="15.75" thickBot="1" x14ac:dyDescent="0.3">
      <c r="B52" s="3">
        <v>50</v>
      </c>
      <c r="C52" s="3">
        <v>5</v>
      </c>
      <c r="D52" s="3">
        <v>3.3</v>
      </c>
      <c r="E52" s="3">
        <v>1.4</v>
      </c>
      <c r="F52" s="3">
        <v>0.2</v>
      </c>
      <c r="G52" s="3" t="s">
        <v>6</v>
      </c>
      <c r="I52" s="3">
        <v>100</v>
      </c>
      <c r="J52" s="3">
        <v>5.7</v>
      </c>
      <c r="K52" s="3">
        <v>2.8</v>
      </c>
      <c r="L52" s="3">
        <v>4.0999999999999996</v>
      </c>
      <c r="M52" s="3">
        <v>1.3</v>
      </c>
      <c r="N52" s="3" t="s">
        <v>12</v>
      </c>
      <c r="P52" s="17">
        <v>150</v>
      </c>
      <c r="Q52" s="17">
        <v>5.9</v>
      </c>
      <c r="R52" s="17">
        <v>3</v>
      </c>
      <c r="S52" s="17">
        <v>5.0999999999999996</v>
      </c>
      <c r="T52" s="17">
        <v>1.8</v>
      </c>
      <c r="U52" s="17" t="s">
        <v>13</v>
      </c>
    </row>
    <row r="53" spans="2:27" ht="15.75" thickBot="1" x14ac:dyDescent="0.3"/>
    <row r="54" spans="2:27" ht="15.75" thickBot="1" x14ac:dyDescent="0.3">
      <c r="B54" s="47" t="s">
        <v>24</v>
      </c>
      <c r="C54" s="48"/>
      <c r="D54" s="48"/>
      <c r="E54" s="48"/>
      <c r="F54" s="48"/>
      <c r="G54" s="48"/>
      <c r="H54" s="48"/>
      <c r="I54" s="49"/>
      <c r="K54" s="47" t="s">
        <v>25</v>
      </c>
      <c r="L54" s="48"/>
      <c r="M54" s="48"/>
      <c r="N54" s="48"/>
      <c r="O54" s="48"/>
      <c r="P54" s="48"/>
      <c r="Q54" s="48"/>
      <c r="R54" s="49"/>
      <c r="T54" s="47" t="s">
        <v>25</v>
      </c>
      <c r="U54" s="48"/>
      <c r="V54" s="48"/>
      <c r="W54" s="48"/>
      <c r="X54" s="48"/>
      <c r="Y54" s="48"/>
      <c r="Z54" s="48"/>
      <c r="AA54" s="49"/>
    </row>
    <row r="55" spans="2:27" ht="15.75" thickBot="1" x14ac:dyDescent="0.3">
      <c r="B55" s="47" t="s">
        <v>0</v>
      </c>
      <c r="C55" s="49"/>
      <c r="D55" s="47" t="s">
        <v>1</v>
      </c>
      <c r="E55" s="49"/>
      <c r="F55" s="47" t="s">
        <v>2</v>
      </c>
      <c r="G55" s="49"/>
      <c r="H55" s="55" t="s">
        <v>3</v>
      </c>
      <c r="I55" s="81"/>
      <c r="K55" s="47" t="s">
        <v>0</v>
      </c>
      <c r="L55" s="49"/>
      <c r="M55" s="47" t="s">
        <v>1</v>
      </c>
      <c r="N55" s="49"/>
      <c r="O55" s="47" t="s">
        <v>2</v>
      </c>
      <c r="P55" s="49"/>
      <c r="Q55" s="55" t="s">
        <v>3</v>
      </c>
      <c r="R55" s="81"/>
      <c r="T55" s="47" t="s">
        <v>0</v>
      </c>
      <c r="U55" s="49"/>
      <c r="V55" s="47" t="s">
        <v>1</v>
      </c>
      <c r="W55" s="49"/>
      <c r="X55" s="47" t="s">
        <v>2</v>
      </c>
      <c r="Y55" s="49"/>
      <c r="Z55" s="82" t="s">
        <v>3</v>
      </c>
      <c r="AA55" s="83"/>
    </row>
    <row r="56" spans="2:27" ht="15.75" thickBot="1" x14ac:dyDescent="0.3">
      <c r="B56" s="10" t="s">
        <v>23</v>
      </c>
      <c r="C56" s="10" t="s">
        <v>26</v>
      </c>
      <c r="D56" s="10" t="s">
        <v>23</v>
      </c>
      <c r="E56" s="10" t="s">
        <v>26</v>
      </c>
      <c r="F56" s="10" t="s">
        <v>23</v>
      </c>
      <c r="G56" s="10" t="s">
        <v>26</v>
      </c>
      <c r="H56" s="10" t="s">
        <v>23</v>
      </c>
      <c r="I56" s="10" t="s">
        <v>26</v>
      </c>
      <c r="K56" s="10" t="str">
        <f t="array" ref="K56:K69">TRANSPOSE([2]Hoja3!B21:O21)</f>
        <v>Intervalo</v>
      </c>
      <c r="L56" s="10" t="s">
        <v>26</v>
      </c>
      <c r="M56" s="10" t="str">
        <f t="array" ref="M56:M69">TRANSPOSE([2]Hoja3!B28:O28)</f>
        <v>Intervalo</v>
      </c>
      <c r="N56" s="10" t="s">
        <v>26</v>
      </c>
      <c r="O56" s="10" t="str">
        <f t="array" ref="O56:O69">TRANSPOSE([2]Hoja3!B35:O35)</f>
        <v>Intervalo</v>
      </c>
      <c r="P56" s="10" t="s">
        <v>26</v>
      </c>
      <c r="Q56" s="10" t="str">
        <f t="array" ref="Q56:Q69">TRANSPOSE([2]Hoja3!B42:O42)</f>
        <v>Intervalo</v>
      </c>
      <c r="R56" s="10" t="s">
        <v>26</v>
      </c>
      <c r="T56" s="10" t="str">
        <f t="array" ref="T56:T69">TRANSPOSE([2]Hoja3!B21:O21)</f>
        <v>Intervalo</v>
      </c>
      <c r="U56" s="10" t="s">
        <v>26</v>
      </c>
      <c r="V56" s="10" t="str">
        <f t="array" ref="V56:V69">TRANSPOSE([2]Hoja3!B28:O28)</f>
        <v>Intervalo</v>
      </c>
      <c r="W56" s="10" t="s">
        <v>26</v>
      </c>
      <c r="X56" s="10" t="str">
        <f t="array" ref="X56:X69">TRANSPOSE([2]Hoja3!B35:O35)</f>
        <v>Intervalo</v>
      </c>
      <c r="Y56" s="10" t="s">
        <v>26</v>
      </c>
      <c r="Z56" s="10" t="str">
        <f t="array" ref="Z56:Z69">TRANSPOSE([2]Hoja3!B42:O42)</f>
        <v>Intervalo</v>
      </c>
      <c r="AA56" s="10" t="s">
        <v>26</v>
      </c>
    </row>
    <row r="57" spans="2:27" x14ac:dyDescent="0.25">
      <c r="B57" s="24" t="str">
        <f t="array" ref="B57:C69">TRANSPOSE([2]Hoja3!C21:O22)</f>
        <v>[4,3-4,6)</v>
      </c>
      <c r="C57" s="25">
        <v>5</v>
      </c>
      <c r="D57" s="24" t="str">
        <f t="array" ref="D57:E69">TRANSPOSE([2]Hoja3!C28:O29)</f>
        <v>[2-2,2)</v>
      </c>
      <c r="E57" s="25">
        <v>0</v>
      </c>
      <c r="F57" s="24" t="str">
        <f t="array" ref="F57:G69">TRANSPOSE([2]Hoja3!C35:O36)</f>
        <v>[1-1,5)</v>
      </c>
      <c r="G57" s="25">
        <v>24</v>
      </c>
      <c r="H57" s="24" t="str">
        <f t="array" ref="H57:I69">TRANSPOSE([2]Hoja3!C42:O43)</f>
        <v>[0,1-0,3)</v>
      </c>
      <c r="I57" s="25">
        <v>34</v>
      </c>
      <c r="K57" s="24" t="str">
        <v>[4,3-4,6)</v>
      </c>
      <c r="L57" s="25">
        <f t="array" ref="L57:L69">TRANSPOSE([2]Hoja3!C23:O23)</f>
        <v>0</v>
      </c>
      <c r="M57" s="24" t="str">
        <v>[2-2,2)</v>
      </c>
      <c r="N57" s="25">
        <f t="array" ref="N57:N69">TRANSPOSE([2]Hoja3!C30:O30)</f>
        <v>1</v>
      </c>
      <c r="O57" s="24" t="str">
        <v>[1-1,5)</v>
      </c>
      <c r="P57" s="25">
        <f t="array" ref="P57:P69">TRANSPOSE([2]Hoja3!C37:O37)</f>
        <v>0</v>
      </c>
      <c r="Q57" s="24" t="str">
        <v>[0,1-0,3)</v>
      </c>
      <c r="R57" s="25">
        <f t="array" ref="R57:R69">TRANSPOSE([2]Hoja3!C44:O44)</f>
        <v>0</v>
      </c>
      <c r="T57" s="24" t="str">
        <v>[4,3-4,6)</v>
      </c>
      <c r="U57" s="25">
        <f t="array" ref="U57:U69">TRANSPOSE([2]Hoja3!C24:O24)</f>
        <v>0</v>
      </c>
      <c r="V57" s="24" t="str">
        <v>[2-2,2)</v>
      </c>
      <c r="W57" s="25">
        <f t="array" ref="W57:W69">TRANSPOSE([2]Hoja3!C31:O31)</f>
        <v>0</v>
      </c>
      <c r="X57" s="24" t="str">
        <v>[1-1,5)</v>
      </c>
      <c r="Y57" s="25">
        <f t="array" ref="Y57:Y69">TRANSPOSE([2]Hoja3!C38:O38)</f>
        <v>0</v>
      </c>
      <c r="Z57" s="24" t="str">
        <v>[0,1-0,3)</v>
      </c>
      <c r="AA57" s="25">
        <f t="array" ref="AA57:AA69">TRANSPOSE([2]Hoja3!C45:O45)</f>
        <v>0</v>
      </c>
    </row>
    <row r="58" spans="2:27" x14ac:dyDescent="0.25">
      <c r="B58" s="24" t="str">
        <v>[4,6-4,9)</v>
      </c>
      <c r="C58" s="25">
        <v>11</v>
      </c>
      <c r="D58" s="24" t="str">
        <v>[2,2-2,4)</v>
      </c>
      <c r="E58" s="25">
        <v>1</v>
      </c>
      <c r="F58" s="24" t="str">
        <v>[1,5-2)</v>
      </c>
      <c r="G58" s="25">
        <v>26</v>
      </c>
      <c r="H58" s="24" t="str">
        <v>[0,3-0,5)</v>
      </c>
      <c r="I58" s="25">
        <v>14</v>
      </c>
      <c r="K58" s="24" t="str">
        <v>[4,6-4,9)</v>
      </c>
      <c r="L58" s="25">
        <v>0</v>
      </c>
      <c r="M58" s="24" t="str">
        <v>[2,2-2,4)</v>
      </c>
      <c r="N58" s="25">
        <v>5</v>
      </c>
      <c r="O58" s="24" t="str">
        <v>[1,5-2)</v>
      </c>
      <c r="P58" s="25">
        <v>0</v>
      </c>
      <c r="Q58" s="24" t="str">
        <v>[0,3-0,5)</v>
      </c>
      <c r="R58" s="25">
        <v>0</v>
      </c>
      <c r="T58" s="24" t="str">
        <v>[4,6-4,9)</v>
      </c>
      <c r="U58" s="25">
        <v>0</v>
      </c>
      <c r="V58" s="24" t="str">
        <v>[2,2-2,4)</v>
      </c>
      <c r="W58" s="25">
        <v>1</v>
      </c>
      <c r="X58" s="24" t="str">
        <v>[1,5-2)</v>
      </c>
      <c r="Y58" s="25">
        <v>0</v>
      </c>
      <c r="Z58" s="24" t="str">
        <v>[0,3-0,5)</v>
      </c>
      <c r="AA58" s="25">
        <v>0</v>
      </c>
    </row>
    <row r="59" spans="2:27" x14ac:dyDescent="0.25">
      <c r="B59" s="24" t="str">
        <v>[4,9-5,2)</v>
      </c>
      <c r="C59" s="25">
        <v>20</v>
      </c>
      <c r="D59" s="24" t="str">
        <v>[2,4-2,6)</v>
      </c>
      <c r="E59" s="25">
        <v>0</v>
      </c>
      <c r="F59" s="24" t="str">
        <v>[2-2,4)</v>
      </c>
      <c r="G59" s="25">
        <v>0</v>
      </c>
      <c r="H59" s="24" t="str">
        <v>[0,5-0,7)</v>
      </c>
      <c r="I59" s="25">
        <v>2</v>
      </c>
      <c r="K59" s="24" t="str">
        <v>[4,9-5,2)</v>
      </c>
      <c r="L59" s="25">
        <v>4</v>
      </c>
      <c r="M59" s="24" t="str">
        <v>[2,4-2,6)</v>
      </c>
      <c r="N59" s="25">
        <v>7</v>
      </c>
      <c r="O59" s="24" t="str">
        <v>[2-2,4)</v>
      </c>
      <c r="P59" s="25">
        <v>0</v>
      </c>
      <c r="Q59" s="24" t="str">
        <v>[0,5-0,7)</v>
      </c>
      <c r="R59" s="25">
        <v>0</v>
      </c>
      <c r="T59" s="24" t="str">
        <v>[4,9-5,2)</v>
      </c>
      <c r="U59" s="25">
        <v>1</v>
      </c>
      <c r="V59" s="24" t="str">
        <v>[2,4-2,6)</v>
      </c>
      <c r="W59" s="25">
        <v>4</v>
      </c>
      <c r="X59" s="24" t="str">
        <v>[2-2,4)</v>
      </c>
      <c r="Y59" s="25">
        <v>0</v>
      </c>
      <c r="Z59" s="24" t="str">
        <v>[0,5-0,7)</v>
      </c>
      <c r="AA59" s="25">
        <v>0</v>
      </c>
    </row>
    <row r="60" spans="2:27" x14ac:dyDescent="0.25">
      <c r="B60" s="24" t="str">
        <v>[5,2-5,5)</v>
      </c>
      <c r="C60" s="25">
        <v>9</v>
      </c>
      <c r="D60" s="24" t="str">
        <v>[2,6-2,8)</v>
      </c>
      <c r="E60" s="25">
        <v>0</v>
      </c>
      <c r="F60" s="24" t="str">
        <v>[2,4-2,9)</v>
      </c>
      <c r="G60" s="25">
        <v>0</v>
      </c>
      <c r="H60" s="24" t="str">
        <v>[0,7-0.9)</v>
      </c>
      <c r="I60" s="25">
        <v>0</v>
      </c>
      <c r="K60" s="24" t="str">
        <v>[5,2-5,5)</v>
      </c>
      <c r="L60" s="25">
        <v>2</v>
      </c>
      <c r="M60" s="24" t="str">
        <v>[2,6-2,8)</v>
      </c>
      <c r="N60" s="25">
        <v>8</v>
      </c>
      <c r="O60" s="24" t="str">
        <v>[2,4-2,9)</v>
      </c>
      <c r="P60" s="25">
        <v>0</v>
      </c>
      <c r="Q60" s="24" t="str">
        <v>[0,7-0.9)</v>
      </c>
      <c r="R60" s="25">
        <v>0</v>
      </c>
      <c r="T60" s="24" t="str">
        <v>[5,2-5,5)</v>
      </c>
      <c r="U60" s="25">
        <v>0</v>
      </c>
      <c r="V60" s="24" t="str">
        <v>[2,6-2,8)</v>
      </c>
      <c r="W60" s="25">
        <v>6</v>
      </c>
      <c r="X60" s="24" t="str">
        <v>[2,4-2,9)</v>
      </c>
      <c r="Y60" s="25">
        <v>0</v>
      </c>
      <c r="Z60" s="24" t="str">
        <v>[0,7-0.9)</v>
      </c>
      <c r="AA60" s="25">
        <v>0</v>
      </c>
    </row>
    <row r="61" spans="2:27" x14ac:dyDescent="0.25">
      <c r="B61" s="24" t="str">
        <v>[5,5-5,8)</v>
      </c>
      <c r="C61" s="25">
        <v>4</v>
      </c>
      <c r="D61" s="24" t="str">
        <v>[2,8-3)</v>
      </c>
      <c r="E61" s="25">
        <v>1</v>
      </c>
      <c r="F61" s="24" t="str">
        <v>[2,9-3,4)</v>
      </c>
      <c r="G61" s="25">
        <v>0</v>
      </c>
      <c r="H61" s="24" t="str">
        <v>[0,9-1,1)</v>
      </c>
      <c r="I61" s="25">
        <v>0</v>
      </c>
      <c r="K61" s="24" t="str">
        <v>[5,5-5,8)</v>
      </c>
      <c r="L61" s="25">
        <v>15</v>
      </c>
      <c r="M61" s="24" t="str">
        <v>[2,8-3)</v>
      </c>
      <c r="N61" s="25">
        <v>13</v>
      </c>
      <c r="O61" s="24" t="str">
        <v>[2,9-3,4)</v>
      </c>
      <c r="P61" s="25">
        <v>3</v>
      </c>
      <c r="Q61" s="24" t="str">
        <v>[0,9-1,1)</v>
      </c>
      <c r="R61" s="25">
        <v>7</v>
      </c>
      <c r="T61" s="24" t="str">
        <v>[5,5-5,8)</v>
      </c>
      <c r="U61" s="25">
        <v>2</v>
      </c>
      <c r="V61" s="24" t="str">
        <v>[2,8-3)</v>
      </c>
      <c r="W61" s="25">
        <v>10</v>
      </c>
      <c r="X61" s="24" t="str">
        <v>[2,9-3,4)</v>
      </c>
      <c r="Y61" s="25">
        <v>0</v>
      </c>
      <c r="Z61" s="24" t="str">
        <v>[0,9-1,1)</v>
      </c>
      <c r="AA61" s="25">
        <v>0</v>
      </c>
    </row>
    <row r="62" spans="2:27" x14ac:dyDescent="0.25">
      <c r="B62" s="24" t="str">
        <v>[5,8-6,1)</v>
      </c>
      <c r="C62" s="25">
        <v>1</v>
      </c>
      <c r="D62" s="24" t="str">
        <v>[3-3,2)</v>
      </c>
      <c r="E62" s="25">
        <v>10</v>
      </c>
      <c r="F62" s="24" t="str">
        <v>[3,4-3,9)</v>
      </c>
      <c r="G62" s="25">
        <v>0</v>
      </c>
      <c r="H62" s="24" t="str">
        <v>[1,1-1,3)</v>
      </c>
      <c r="I62" s="25">
        <v>0</v>
      </c>
      <c r="K62" s="24" t="str">
        <v>[5,8-6,1)</v>
      </c>
      <c r="L62" s="25">
        <v>9</v>
      </c>
      <c r="M62" s="24" t="str">
        <v>[3-3,2)</v>
      </c>
      <c r="N62" s="25">
        <v>11</v>
      </c>
      <c r="O62" s="24" t="str">
        <v>[3,4-3,9)</v>
      </c>
      <c r="P62" s="25">
        <v>5</v>
      </c>
      <c r="Q62" s="24" t="str">
        <v>[1,1-1,3)</v>
      </c>
      <c r="R62" s="25">
        <v>8</v>
      </c>
      <c r="T62" s="24" t="str">
        <v>[5,8-6,1)</v>
      </c>
      <c r="U62" s="25">
        <v>6</v>
      </c>
      <c r="V62" s="24" t="str">
        <v>[3-3,2)</v>
      </c>
      <c r="W62" s="25">
        <v>16</v>
      </c>
      <c r="X62" s="24" t="str">
        <v>[3,4-3,9)</v>
      </c>
      <c r="Y62" s="25">
        <v>0</v>
      </c>
      <c r="Z62" s="24" t="str">
        <v>[1,1-1,3)</v>
      </c>
      <c r="AA62" s="25">
        <v>0</v>
      </c>
    </row>
    <row r="63" spans="2:27" x14ac:dyDescent="0.25">
      <c r="B63" s="24" t="str">
        <v>[6,1-6,4)</v>
      </c>
      <c r="C63" s="25">
        <v>0</v>
      </c>
      <c r="D63" s="24" t="str">
        <v>[3,2-3,4)</v>
      </c>
      <c r="E63" s="25">
        <v>7</v>
      </c>
      <c r="F63" s="24" t="str">
        <v>[3,9-4,4)</v>
      </c>
      <c r="G63" s="25">
        <v>0</v>
      </c>
      <c r="H63" s="24" t="str">
        <v>[1,3-1,5)</v>
      </c>
      <c r="I63" s="25">
        <v>0</v>
      </c>
      <c r="K63" s="24" t="str">
        <v>[6,1-6,4)</v>
      </c>
      <c r="L63" s="25">
        <v>9</v>
      </c>
      <c r="M63" s="24" t="str">
        <v>[3,2-3,4)</v>
      </c>
      <c r="N63" s="25">
        <v>4</v>
      </c>
      <c r="O63" s="24" t="str">
        <v>[3,9-4,4)</v>
      </c>
      <c r="P63" s="25">
        <v>17</v>
      </c>
      <c r="Q63" s="24" t="str">
        <v>[1,3-1,5)</v>
      </c>
      <c r="R63" s="25">
        <v>20</v>
      </c>
      <c r="T63" s="24" t="str">
        <v>[6,1-6,4)</v>
      </c>
      <c r="U63" s="25">
        <v>10</v>
      </c>
      <c r="V63" s="24" t="str">
        <v>[3,2-3,4)</v>
      </c>
      <c r="W63" s="25">
        <v>8</v>
      </c>
      <c r="X63" s="24" t="str">
        <v>[3,9-4,4)</v>
      </c>
      <c r="Y63" s="25">
        <v>0</v>
      </c>
      <c r="Z63" s="24" t="str">
        <v>[1,3-1,5)</v>
      </c>
      <c r="AA63" s="25">
        <v>1</v>
      </c>
    </row>
    <row r="64" spans="2:27" x14ac:dyDescent="0.25">
      <c r="B64" s="24" t="str">
        <v>[6,4-6,7)</v>
      </c>
      <c r="C64" s="25">
        <v>0</v>
      </c>
      <c r="D64" s="24" t="str">
        <v>[3,4,-3,6)</v>
      </c>
      <c r="E64" s="25">
        <v>15</v>
      </c>
      <c r="F64" s="24" t="str">
        <v>[4,4-4,9)</v>
      </c>
      <c r="G64" s="25">
        <v>0</v>
      </c>
      <c r="H64" s="24" t="str">
        <v>[1,5-1,7)</v>
      </c>
      <c r="I64" s="25">
        <v>0</v>
      </c>
      <c r="K64" s="24" t="str">
        <v>[6,4-6,7)</v>
      </c>
      <c r="L64" s="25">
        <v>5</v>
      </c>
      <c r="M64" s="24" t="str">
        <v>[3,4,-3,6)</v>
      </c>
      <c r="N64" s="25">
        <v>1</v>
      </c>
      <c r="O64" s="24" t="str">
        <v>[4,4-4,9)</v>
      </c>
      <c r="P64" s="25">
        <v>21</v>
      </c>
      <c r="Q64" s="24" t="str">
        <v>[1,5-1,7)</v>
      </c>
      <c r="R64" s="25">
        <v>13</v>
      </c>
      <c r="T64" s="24" t="str">
        <v>[6,4-6,7)</v>
      </c>
      <c r="U64" s="25">
        <v>9</v>
      </c>
      <c r="V64" s="24" t="str">
        <v>[3,4,-3,6)</v>
      </c>
      <c r="W64" s="25">
        <v>2</v>
      </c>
      <c r="X64" s="24" t="str">
        <v>[4,4-4,9)</v>
      </c>
      <c r="Y64" s="25">
        <v>3</v>
      </c>
      <c r="Z64" s="24" t="str">
        <v>[1,5-1,7)</v>
      </c>
      <c r="AA64" s="25">
        <v>3</v>
      </c>
    </row>
    <row r="65" spans="2:27" x14ac:dyDescent="0.25">
      <c r="B65" s="24" t="str">
        <v>[6,7-6,9)</v>
      </c>
      <c r="C65" s="25">
        <v>0</v>
      </c>
      <c r="D65" s="24" t="str">
        <v>[3,6-3,8)</v>
      </c>
      <c r="E65" s="25">
        <v>6</v>
      </c>
      <c r="F65" s="24" t="str">
        <v>[4,9-5,3)</v>
      </c>
      <c r="G65" s="25">
        <v>0</v>
      </c>
      <c r="H65" s="24" t="str">
        <v>[1,7-1,9)</v>
      </c>
      <c r="I65" s="25">
        <v>0</v>
      </c>
      <c r="K65" s="24" t="str">
        <v>[6,7-6,9)</v>
      </c>
      <c r="L65" s="25">
        <v>4</v>
      </c>
      <c r="M65" s="24" t="str">
        <v>[3,6-3,8)</v>
      </c>
      <c r="N65" s="25">
        <v>0</v>
      </c>
      <c r="O65" s="24" t="str">
        <v>[4,9-5,3)</v>
      </c>
      <c r="P65" s="25">
        <v>4</v>
      </c>
      <c r="Q65" s="24" t="str">
        <v>[1,7-1,9)</v>
      </c>
      <c r="R65" s="25">
        <v>2</v>
      </c>
      <c r="T65" s="24" t="str">
        <v>[6,7-6,9)</v>
      </c>
      <c r="U65" s="25">
        <v>7</v>
      </c>
      <c r="V65" s="24" t="str">
        <v>[3,6-3,8)</v>
      </c>
      <c r="W65" s="25">
        <v>1</v>
      </c>
      <c r="X65" s="24" t="str">
        <v>[4,9-5,3)</v>
      </c>
      <c r="Y65" s="25">
        <v>15</v>
      </c>
      <c r="Z65" s="24" t="str">
        <v>[1,7-1,9)</v>
      </c>
      <c r="AA65" s="25">
        <v>12</v>
      </c>
    </row>
    <row r="66" spans="2:27" x14ac:dyDescent="0.25">
      <c r="B66" s="24" t="str">
        <v>[6,9-7,2)</v>
      </c>
      <c r="C66" s="25">
        <v>0</v>
      </c>
      <c r="D66" s="24" t="str">
        <v>[3,8-4)</v>
      </c>
      <c r="E66" s="25">
        <v>6</v>
      </c>
      <c r="F66" s="24" t="str">
        <v>[5,3-5,8)</v>
      </c>
      <c r="G66" s="25">
        <v>0</v>
      </c>
      <c r="H66" s="24" t="str">
        <v>[1,9-2,1)</v>
      </c>
      <c r="I66" s="25">
        <v>0</v>
      </c>
      <c r="K66" s="24" t="str">
        <v>[6,9-7,2)</v>
      </c>
      <c r="L66" s="25">
        <v>2</v>
      </c>
      <c r="M66" s="24" t="str">
        <v>[3,8-4)</v>
      </c>
      <c r="N66" s="25">
        <v>0</v>
      </c>
      <c r="O66" s="24" t="str">
        <v>[5,3-5,8)</v>
      </c>
      <c r="P66" s="25">
        <v>0</v>
      </c>
      <c r="Q66" s="24" t="str">
        <v>[1,9-2,1)</v>
      </c>
      <c r="R66" s="25">
        <v>0</v>
      </c>
      <c r="T66" s="24" t="str">
        <v>[6,9-7,2)</v>
      </c>
      <c r="U66" s="25">
        <v>4</v>
      </c>
      <c r="V66" s="24" t="str">
        <v>[3,8-4)</v>
      </c>
      <c r="W66" s="25">
        <v>2</v>
      </c>
      <c r="X66" s="24" t="str">
        <v>[5,3-5,8)</v>
      </c>
      <c r="Y66" s="25">
        <v>16</v>
      </c>
      <c r="Z66" s="24" t="str">
        <v>[1,9-2,1)</v>
      </c>
      <c r="AA66" s="25">
        <v>11</v>
      </c>
    </row>
    <row r="67" spans="2:27" x14ac:dyDescent="0.25">
      <c r="B67" s="24" t="str">
        <v>[7,2-7,5)</v>
      </c>
      <c r="C67" s="25">
        <v>0</v>
      </c>
      <c r="D67" s="24" t="str">
        <v>[4-4,2)</v>
      </c>
      <c r="E67" s="25">
        <v>2</v>
      </c>
      <c r="F67" s="24" t="str">
        <v>[5,8-6,3)</v>
      </c>
      <c r="G67" s="25">
        <v>0</v>
      </c>
      <c r="H67" s="24" t="str">
        <v>[2,1-2,3)</v>
      </c>
      <c r="I67" s="25">
        <v>0</v>
      </c>
      <c r="K67" s="24" t="str">
        <v>[7,2-7,5)</v>
      </c>
      <c r="L67" s="25">
        <v>0</v>
      </c>
      <c r="M67" s="24" t="str">
        <v>[4-4,2)</v>
      </c>
      <c r="N67" s="25">
        <v>0</v>
      </c>
      <c r="O67" s="24" t="str">
        <v>[5,8-6,3)</v>
      </c>
      <c r="P67" s="25">
        <v>0</v>
      </c>
      <c r="Q67" s="24" t="str">
        <v>[2,1-2,3)</v>
      </c>
      <c r="R67" s="25">
        <v>0</v>
      </c>
      <c r="T67" s="24" t="str">
        <v>[7,2-7,5)</v>
      </c>
      <c r="U67" s="25">
        <v>5</v>
      </c>
      <c r="V67" s="24" t="str">
        <v>[4-4,2)</v>
      </c>
      <c r="W67" s="25">
        <v>0</v>
      </c>
      <c r="X67" s="24" t="str">
        <v>[5,8-6,3)</v>
      </c>
      <c r="Y67" s="25">
        <v>10</v>
      </c>
      <c r="Z67" s="24" t="str">
        <v>[2,1-2,3)</v>
      </c>
      <c r="AA67" s="25">
        <v>9</v>
      </c>
    </row>
    <row r="68" spans="2:27" x14ac:dyDescent="0.25">
      <c r="B68" s="24" t="str">
        <v>[7,5-7,8)</v>
      </c>
      <c r="C68" s="25">
        <v>0</v>
      </c>
      <c r="D68" s="24" t="str">
        <v>[4,2-4,4)</v>
      </c>
      <c r="E68" s="25">
        <v>1</v>
      </c>
      <c r="F68" s="24" t="str">
        <v>[6,3-6,8)</v>
      </c>
      <c r="G68" s="25">
        <v>0</v>
      </c>
      <c r="H68" s="24" t="str">
        <v>[2,3-2,5)</v>
      </c>
      <c r="I68" s="25">
        <v>0</v>
      </c>
      <c r="K68" s="24" t="str">
        <v>[7,5-7,8)</v>
      </c>
      <c r="L68" s="25">
        <v>0</v>
      </c>
      <c r="M68" s="24" t="str">
        <v>[4,2-4,4)</v>
      </c>
      <c r="N68" s="25">
        <v>0</v>
      </c>
      <c r="O68" s="24" t="str">
        <v>[6,3-6,8)</v>
      </c>
      <c r="P68" s="25">
        <v>0</v>
      </c>
      <c r="Q68" s="24" t="str">
        <v>[2,3-2,5)</v>
      </c>
      <c r="R68" s="25">
        <v>0</v>
      </c>
      <c r="T68" s="24" t="str">
        <v>[7,5-7,8)</v>
      </c>
      <c r="U68" s="25">
        <v>5</v>
      </c>
      <c r="V68" s="24" t="str">
        <v>[4,2-4,4)</v>
      </c>
      <c r="W68" s="25">
        <v>0</v>
      </c>
      <c r="X68" s="24" t="str">
        <v>[6,3-6,8)</v>
      </c>
      <c r="Y68" s="25">
        <v>5</v>
      </c>
      <c r="Z68" s="24" t="str">
        <v>[2,3-2,5)</v>
      </c>
      <c r="AA68" s="25">
        <v>11</v>
      </c>
    </row>
    <row r="69" spans="2:27" ht="15.75" thickBot="1" x14ac:dyDescent="0.3">
      <c r="B69" s="18" t="str">
        <v>[7,8-8,1)</v>
      </c>
      <c r="C69" s="26">
        <v>0</v>
      </c>
      <c r="D69" s="18" t="str">
        <v>[4,4-4,5)</v>
      </c>
      <c r="E69" s="26">
        <v>1</v>
      </c>
      <c r="F69" s="18" t="str">
        <v>[6,8-7,3)</v>
      </c>
      <c r="G69" s="26">
        <v>0</v>
      </c>
      <c r="H69" s="18" t="str">
        <v>[2,5-2,6)</v>
      </c>
      <c r="I69" s="26">
        <v>0</v>
      </c>
      <c r="K69" s="18" t="str">
        <v>[7,8-8,1)</v>
      </c>
      <c r="L69" s="26">
        <v>0</v>
      </c>
      <c r="M69" s="18" t="str">
        <v>[4,4-4,5)</v>
      </c>
      <c r="N69" s="26">
        <v>0</v>
      </c>
      <c r="O69" s="18" t="str">
        <v>[6,8-7,3)</v>
      </c>
      <c r="P69" s="26">
        <v>0</v>
      </c>
      <c r="Q69" s="18" t="str">
        <v>[2,5-2,6)</v>
      </c>
      <c r="R69" s="26">
        <v>0</v>
      </c>
      <c r="T69" s="18" t="str">
        <v>[7,8-8,1)</v>
      </c>
      <c r="U69" s="26">
        <v>1</v>
      </c>
      <c r="V69" s="18" t="str">
        <v>[4,4-4,5)</v>
      </c>
      <c r="W69" s="26">
        <v>0</v>
      </c>
      <c r="X69" s="18" t="str">
        <v>[6,8-7,3)</v>
      </c>
      <c r="Y69" s="26">
        <v>1</v>
      </c>
      <c r="Z69" s="18" t="str">
        <v>[2,5-2,6)</v>
      </c>
      <c r="AA69" s="26">
        <v>3</v>
      </c>
    </row>
  </sheetData>
  <mergeCells count="15">
    <mergeCell ref="B54:I54"/>
    <mergeCell ref="K54:R54"/>
    <mergeCell ref="T54:AA54"/>
    <mergeCell ref="B55:C55"/>
    <mergeCell ref="D55:E55"/>
    <mergeCell ref="F55:G55"/>
    <mergeCell ref="H55:I55"/>
    <mergeCell ref="K55:L55"/>
    <mergeCell ref="M55:N55"/>
    <mergeCell ref="O55:P55"/>
    <mergeCell ref="Q55:R55"/>
    <mergeCell ref="T55:U55"/>
    <mergeCell ref="V55:W55"/>
    <mergeCell ref="X55:Y55"/>
    <mergeCell ref="Z55:AA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F7CF-337A-4FA9-91DB-17446C88206F}">
  <dimension ref="B1:G152"/>
  <sheetViews>
    <sheetView zoomScale="70" zoomScaleNormal="70" workbookViewId="0">
      <selection activeCell="AB122" sqref="AB122"/>
    </sheetView>
  </sheetViews>
  <sheetFormatPr defaultRowHeight="15" x14ac:dyDescent="0.25"/>
  <cols>
    <col min="3" max="3" width="12.28515625" customWidth="1"/>
    <col min="4" max="4" width="11.7109375" customWidth="1"/>
    <col min="5" max="6" width="11.85546875" customWidth="1"/>
    <col min="9" max="9" width="12.42578125" customWidth="1"/>
    <col min="11" max="11" width="11.85546875" customWidth="1"/>
    <col min="13" max="13" width="11.7109375" customWidth="1"/>
    <col min="14" max="14" width="9.5703125" customWidth="1"/>
    <col min="15" max="15" width="13.5703125" customWidth="1"/>
  </cols>
  <sheetData>
    <row r="1" spans="2:7" ht="15.75" thickBot="1" x14ac:dyDescent="0.3"/>
    <row r="2" spans="2:7" ht="15.75" thickBot="1" x14ac:dyDescent="0.3">
      <c r="B2" s="37" t="s">
        <v>27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25">
      <c r="B3" s="31">
        <v>1</v>
      </c>
      <c r="C3" s="31">
        <v>5.0999999999999996</v>
      </c>
      <c r="D3" s="31">
        <v>3.5</v>
      </c>
      <c r="E3" s="31">
        <v>1.4</v>
      </c>
      <c r="F3" s="31">
        <v>0.2</v>
      </c>
      <c r="G3" s="27" t="s">
        <v>6</v>
      </c>
    </row>
    <row r="4" spans="2:7" x14ac:dyDescent="0.25">
      <c r="B4" s="32">
        <v>2</v>
      </c>
      <c r="C4" s="32">
        <v>4.9000000000000004</v>
      </c>
      <c r="D4" s="32">
        <v>3</v>
      </c>
      <c r="E4" s="32">
        <v>1.4</v>
      </c>
      <c r="F4" s="32">
        <v>0.2</v>
      </c>
      <c r="G4" s="28" t="s">
        <v>6</v>
      </c>
    </row>
    <row r="5" spans="2:7" x14ac:dyDescent="0.25">
      <c r="B5" s="32">
        <v>3</v>
      </c>
      <c r="C5" s="32">
        <v>4.7</v>
      </c>
      <c r="D5" s="32">
        <v>3.2</v>
      </c>
      <c r="E5" s="32">
        <v>1.3</v>
      </c>
      <c r="F5" s="32">
        <v>0.2</v>
      </c>
      <c r="G5" s="28" t="s">
        <v>6</v>
      </c>
    </row>
    <row r="6" spans="2:7" x14ac:dyDescent="0.25">
      <c r="B6" s="32">
        <v>4</v>
      </c>
      <c r="C6" s="32">
        <v>4.5999999999999996</v>
      </c>
      <c r="D6" s="32">
        <v>3.1</v>
      </c>
      <c r="E6" s="32">
        <v>1.5</v>
      </c>
      <c r="F6" s="32">
        <v>0.2</v>
      </c>
      <c r="G6" s="28" t="s">
        <v>6</v>
      </c>
    </row>
    <row r="7" spans="2:7" x14ac:dyDescent="0.25">
      <c r="B7" s="32">
        <v>5</v>
      </c>
      <c r="C7" s="32">
        <v>5</v>
      </c>
      <c r="D7" s="32">
        <v>3.6</v>
      </c>
      <c r="E7" s="32">
        <v>1.4</v>
      </c>
      <c r="F7" s="32">
        <v>0.2</v>
      </c>
      <c r="G7" s="28" t="s">
        <v>6</v>
      </c>
    </row>
    <row r="8" spans="2:7" x14ac:dyDescent="0.25">
      <c r="B8" s="32">
        <v>6</v>
      </c>
      <c r="C8" s="32">
        <v>5.4</v>
      </c>
      <c r="D8" s="32">
        <v>3.9</v>
      </c>
      <c r="E8" s="32">
        <v>1.7</v>
      </c>
      <c r="F8" s="32">
        <v>0.4</v>
      </c>
      <c r="G8" s="28" t="s">
        <v>6</v>
      </c>
    </row>
    <row r="9" spans="2:7" x14ac:dyDescent="0.25">
      <c r="B9" s="32">
        <v>7</v>
      </c>
      <c r="C9" s="32">
        <v>4.5999999999999996</v>
      </c>
      <c r="D9" s="32">
        <v>3.4</v>
      </c>
      <c r="E9" s="32">
        <v>1.4</v>
      </c>
      <c r="F9" s="32">
        <v>0.3</v>
      </c>
      <c r="G9" s="28" t="s">
        <v>6</v>
      </c>
    </row>
    <row r="10" spans="2:7" x14ac:dyDescent="0.25">
      <c r="B10" s="32">
        <v>8</v>
      </c>
      <c r="C10" s="32">
        <v>5</v>
      </c>
      <c r="D10" s="32">
        <v>3.4</v>
      </c>
      <c r="E10" s="32">
        <v>1.5</v>
      </c>
      <c r="F10" s="32">
        <v>0.2</v>
      </c>
      <c r="G10" s="28" t="s">
        <v>6</v>
      </c>
    </row>
    <row r="11" spans="2:7" x14ac:dyDescent="0.25">
      <c r="B11" s="32">
        <v>9</v>
      </c>
      <c r="C11" s="32">
        <v>4.4000000000000004</v>
      </c>
      <c r="D11" s="32">
        <v>2.9</v>
      </c>
      <c r="E11" s="32">
        <v>1.4</v>
      </c>
      <c r="F11" s="32">
        <v>0.2</v>
      </c>
      <c r="G11" s="28" t="s">
        <v>6</v>
      </c>
    </row>
    <row r="12" spans="2:7" x14ac:dyDescent="0.25">
      <c r="B12" s="32">
        <v>10</v>
      </c>
      <c r="C12" s="32">
        <v>4.9000000000000004</v>
      </c>
      <c r="D12" s="32">
        <v>3.1</v>
      </c>
      <c r="E12" s="32">
        <v>1.5</v>
      </c>
      <c r="F12" s="32">
        <v>0.1</v>
      </c>
      <c r="G12" s="28" t="s">
        <v>6</v>
      </c>
    </row>
    <row r="13" spans="2:7" x14ac:dyDescent="0.25">
      <c r="B13" s="32">
        <v>11</v>
      </c>
      <c r="C13" s="32">
        <v>5.4</v>
      </c>
      <c r="D13" s="32">
        <v>3.7</v>
      </c>
      <c r="E13" s="32">
        <v>1.5</v>
      </c>
      <c r="F13" s="32">
        <v>0.2</v>
      </c>
      <c r="G13" s="28" t="s">
        <v>6</v>
      </c>
    </row>
    <row r="14" spans="2:7" x14ac:dyDescent="0.25">
      <c r="B14" s="32">
        <v>12</v>
      </c>
      <c r="C14" s="32">
        <v>4.8</v>
      </c>
      <c r="D14" s="32">
        <v>3.4</v>
      </c>
      <c r="E14" s="32">
        <v>1.6</v>
      </c>
      <c r="F14" s="32">
        <v>0.2</v>
      </c>
      <c r="G14" s="28" t="s">
        <v>6</v>
      </c>
    </row>
    <row r="15" spans="2:7" x14ac:dyDescent="0.25">
      <c r="B15" s="32">
        <v>13</v>
      </c>
      <c r="C15" s="32">
        <v>4.8</v>
      </c>
      <c r="D15" s="32">
        <v>3</v>
      </c>
      <c r="E15" s="32">
        <v>1.4</v>
      </c>
      <c r="F15" s="32">
        <v>0.1</v>
      </c>
      <c r="G15" s="28" t="s">
        <v>6</v>
      </c>
    </row>
    <row r="16" spans="2:7" x14ac:dyDescent="0.25">
      <c r="B16" s="32">
        <v>14</v>
      </c>
      <c r="C16" s="32">
        <v>4.3</v>
      </c>
      <c r="D16" s="32">
        <v>3</v>
      </c>
      <c r="E16" s="32">
        <v>1.1000000000000001</v>
      </c>
      <c r="F16" s="32">
        <v>0.1</v>
      </c>
      <c r="G16" s="28" t="s">
        <v>6</v>
      </c>
    </row>
    <row r="17" spans="2:7" x14ac:dyDescent="0.25">
      <c r="B17" s="32">
        <v>15</v>
      </c>
      <c r="C17" s="32">
        <v>5.8</v>
      </c>
      <c r="D17" s="32">
        <v>4</v>
      </c>
      <c r="E17" s="32">
        <v>1.2</v>
      </c>
      <c r="F17" s="32">
        <v>0.2</v>
      </c>
      <c r="G17" s="28" t="s">
        <v>6</v>
      </c>
    </row>
    <row r="18" spans="2:7" x14ac:dyDescent="0.25">
      <c r="B18" s="32">
        <v>16</v>
      </c>
      <c r="C18" s="32">
        <v>5.7</v>
      </c>
      <c r="D18" s="32">
        <v>4.4000000000000004</v>
      </c>
      <c r="E18" s="32">
        <v>1.5</v>
      </c>
      <c r="F18" s="32">
        <v>0.4</v>
      </c>
      <c r="G18" s="28" t="s">
        <v>6</v>
      </c>
    </row>
    <row r="19" spans="2:7" x14ac:dyDescent="0.25">
      <c r="B19" s="32">
        <v>17</v>
      </c>
      <c r="C19" s="32">
        <v>5.4</v>
      </c>
      <c r="D19" s="32">
        <v>3.9</v>
      </c>
      <c r="E19" s="32">
        <v>1.3</v>
      </c>
      <c r="F19" s="32">
        <v>0.4</v>
      </c>
      <c r="G19" s="28" t="s">
        <v>6</v>
      </c>
    </row>
    <row r="20" spans="2:7" x14ac:dyDescent="0.25">
      <c r="B20" s="32">
        <v>18</v>
      </c>
      <c r="C20" s="32">
        <v>5.0999999999999996</v>
      </c>
      <c r="D20" s="32">
        <v>3.5</v>
      </c>
      <c r="E20" s="32">
        <v>1.4</v>
      </c>
      <c r="F20" s="32">
        <v>0.3</v>
      </c>
      <c r="G20" s="28" t="s">
        <v>6</v>
      </c>
    </row>
    <row r="21" spans="2:7" x14ac:dyDescent="0.25">
      <c r="B21" s="32">
        <v>19</v>
      </c>
      <c r="C21" s="32">
        <v>5.7</v>
      </c>
      <c r="D21" s="32">
        <v>3.8</v>
      </c>
      <c r="E21" s="32">
        <v>1.7</v>
      </c>
      <c r="F21" s="32">
        <v>0.3</v>
      </c>
      <c r="G21" s="28" t="s">
        <v>6</v>
      </c>
    </row>
    <row r="22" spans="2:7" x14ac:dyDescent="0.25">
      <c r="B22" s="32">
        <v>20</v>
      </c>
      <c r="C22" s="32">
        <v>5.0999999999999996</v>
      </c>
      <c r="D22" s="32">
        <v>3.8</v>
      </c>
      <c r="E22" s="32">
        <v>1.5</v>
      </c>
      <c r="F22" s="32">
        <v>0.3</v>
      </c>
      <c r="G22" s="28" t="s">
        <v>6</v>
      </c>
    </row>
    <row r="23" spans="2:7" x14ac:dyDescent="0.25">
      <c r="B23" s="32">
        <v>21</v>
      </c>
      <c r="C23" s="32">
        <v>5.4</v>
      </c>
      <c r="D23" s="32">
        <v>3.4</v>
      </c>
      <c r="E23" s="32">
        <v>1.7</v>
      </c>
      <c r="F23" s="32">
        <v>0.2</v>
      </c>
      <c r="G23" s="28" t="s">
        <v>6</v>
      </c>
    </row>
    <row r="24" spans="2:7" x14ac:dyDescent="0.25">
      <c r="B24" s="32">
        <v>22</v>
      </c>
      <c r="C24" s="32">
        <v>5.0999999999999996</v>
      </c>
      <c r="D24" s="32">
        <v>3.7</v>
      </c>
      <c r="E24" s="32">
        <v>1.5</v>
      </c>
      <c r="F24" s="32">
        <v>0.4</v>
      </c>
      <c r="G24" s="28" t="s">
        <v>6</v>
      </c>
    </row>
    <row r="25" spans="2:7" x14ac:dyDescent="0.25">
      <c r="B25" s="32">
        <v>23</v>
      </c>
      <c r="C25" s="32">
        <v>4.5999999999999996</v>
      </c>
      <c r="D25" s="32">
        <v>3.6</v>
      </c>
      <c r="E25" s="32">
        <v>1</v>
      </c>
      <c r="F25" s="32">
        <v>0.2</v>
      </c>
      <c r="G25" s="28" t="s">
        <v>6</v>
      </c>
    </row>
    <row r="26" spans="2:7" x14ac:dyDescent="0.25">
      <c r="B26" s="32">
        <v>24</v>
      </c>
      <c r="C26" s="32">
        <v>5.0999999999999996</v>
      </c>
      <c r="D26" s="32">
        <v>3.3</v>
      </c>
      <c r="E26" s="32">
        <v>1.7</v>
      </c>
      <c r="F26" s="32">
        <v>0.5</v>
      </c>
      <c r="G26" s="28" t="s">
        <v>6</v>
      </c>
    </row>
    <row r="27" spans="2:7" x14ac:dyDescent="0.25">
      <c r="B27" s="32">
        <v>25</v>
      </c>
      <c r="C27" s="32">
        <v>4.8</v>
      </c>
      <c r="D27" s="32">
        <v>3.4</v>
      </c>
      <c r="E27" s="32">
        <v>1.9</v>
      </c>
      <c r="F27" s="32">
        <v>0.2</v>
      </c>
      <c r="G27" s="28" t="s">
        <v>6</v>
      </c>
    </row>
    <row r="28" spans="2:7" x14ac:dyDescent="0.25">
      <c r="B28" s="32">
        <v>26</v>
      </c>
      <c r="C28" s="32">
        <v>5</v>
      </c>
      <c r="D28" s="32">
        <v>3</v>
      </c>
      <c r="E28" s="32">
        <v>1.6</v>
      </c>
      <c r="F28" s="32">
        <v>0.2</v>
      </c>
      <c r="G28" s="28" t="s">
        <v>6</v>
      </c>
    </row>
    <row r="29" spans="2:7" x14ac:dyDescent="0.25">
      <c r="B29" s="32">
        <v>27</v>
      </c>
      <c r="C29" s="32">
        <v>5</v>
      </c>
      <c r="D29" s="32">
        <v>3.4</v>
      </c>
      <c r="E29" s="32">
        <v>1.6</v>
      </c>
      <c r="F29" s="32">
        <v>0.4</v>
      </c>
      <c r="G29" s="28" t="s">
        <v>6</v>
      </c>
    </row>
    <row r="30" spans="2:7" x14ac:dyDescent="0.25">
      <c r="B30" s="32">
        <v>28</v>
      </c>
      <c r="C30" s="32">
        <v>5.2</v>
      </c>
      <c r="D30" s="32">
        <v>3.5</v>
      </c>
      <c r="E30" s="32">
        <v>1.5</v>
      </c>
      <c r="F30" s="32">
        <v>0.2</v>
      </c>
      <c r="G30" s="28" t="s">
        <v>6</v>
      </c>
    </row>
    <row r="31" spans="2:7" x14ac:dyDescent="0.25">
      <c r="B31" s="32">
        <v>29</v>
      </c>
      <c r="C31" s="32">
        <v>5.2</v>
      </c>
      <c r="D31" s="32">
        <v>3.4</v>
      </c>
      <c r="E31" s="32">
        <v>1.4</v>
      </c>
      <c r="F31" s="32">
        <v>0.2</v>
      </c>
      <c r="G31" s="28" t="s">
        <v>6</v>
      </c>
    </row>
    <row r="32" spans="2:7" x14ac:dyDescent="0.25">
      <c r="B32" s="32">
        <v>30</v>
      </c>
      <c r="C32" s="32">
        <v>4.7</v>
      </c>
      <c r="D32" s="32">
        <v>3.2</v>
      </c>
      <c r="E32" s="32">
        <v>1.6</v>
      </c>
      <c r="F32" s="32">
        <v>0.2</v>
      </c>
      <c r="G32" s="28" t="s">
        <v>6</v>
      </c>
    </row>
    <row r="33" spans="2:7" x14ac:dyDescent="0.25">
      <c r="B33" s="32">
        <v>31</v>
      </c>
      <c r="C33" s="32">
        <v>4.8</v>
      </c>
      <c r="D33" s="32">
        <v>3.1</v>
      </c>
      <c r="E33" s="32">
        <v>1.6</v>
      </c>
      <c r="F33" s="32">
        <v>0.2</v>
      </c>
      <c r="G33" s="28" t="s">
        <v>6</v>
      </c>
    </row>
    <row r="34" spans="2:7" x14ac:dyDescent="0.25">
      <c r="B34" s="32">
        <v>32</v>
      </c>
      <c r="C34" s="32">
        <v>5.4</v>
      </c>
      <c r="D34" s="32">
        <v>3.4</v>
      </c>
      <c r="E34" s="32">
        <v>1.5</v>
      </c>
      <c r="F34" s="32">
        <v>0.4</v>
      </c>
      <c r="G34" s="28" t="s">
        <v>6</v>
      </c>
    </row>
    <row r="35" spans="2:7" x14ac:dyDescent="0.25">
      <c r="B35" s="32">
        <v>33</v>
      </c>
      <c r="C35" s="32">
        <v>5.2</v>
      </c>
      <c r="D35" s="32">
        <v>4.0999999999999996</v>
      </c>
      <c r="E35" s="32">
        <v>1.5</v>
      </c>
      <c r="F35" s="32">
        <v>0.1</v>
      </c>
      <c r="G35" s="28" t="s">
        <v>6</v>
      </c>
    </row>
    <row r="36" spans="2:7" x14ac:dyDescent="0.25">
      <c r="B36" s="32">
        <v>34</v>
      </c>
      <c r="C36" s="32">
        <v>5.5</v>
      </c>
      <c r="D36" s="32">
        <v>4.2</v>
      </c>
      <c r="E36" s="32">
        <v>1.4</v>
      </c>
      <c r="F36" s="32">
        <v>0.2</v>
      </c>
      <c r="G36" s="28" t="s">
        <v>6</v>
      </c>
    </row>
    <row r="37" spans="2:7" x14ac:dyDescent="0.25">
      <c r="B37" s="32">
        <v>35</v>
      </c>
      <c r="C37" s="32">
        <v>4.9000000000000004</v>
      </c>
      <c r="D37" s="32">
        <v>3.1</v>
      </c>
      <c r="E37" s="32">
        <v>1.5</v>
      </c>
      <c r="F37" s="32">
        <v>0.2</v>
      </c>
      <c r="G37" s="28" t="s">
        <v>6</v>
      </c>
    </row>
    <row r="38" spans="2:7" x14ac:dyDescent="0.25">
      <c r="B38" s="32">
        <v>36</v>
      </c>
      <c r="C38" s="32">
        <v>5</v>
      </c>
      <c r="D38" s="32">
        <v>3.2</v>
      </c>
      <c r="E38" s="32">
        <v>1.2</v>
      </c>
      <c r="F38" s="32">
        <v>0.2</v>
      </c>
      <c r="G38" s="28" t="s">
        <v>6</v>
      </c>
    </row>
    <row r="39" spans="2:7" x14ac:dyDescent="0.25">
      <c r="B39" s="32">
        <v>37</v>
      </c>
      <c r="C39" s="32">
        <v>5.5</v>
      </c>
      <c r="D39" s="32">
        <v>3.5</v>
      </c>
      <c r="E39" s="32">
        <v>1.3</v>
      </c>
      <c r="F39" s="32">
        <v>0.2</v>
      </c>
      <c r="G39" s="28" t="s">
        <v>6</v>
      </c>
    </row>
    <row r="40" spans="2:7" x14ac:dyDescent="0.25">
      <c r="B40" s="32">
        <v>38</v>
      </c>
      <c r="C40" s="32">
        <v>4.9000000000000004</v>
      </c>
      <c r="D40" s="32">
        <v>3.6</v>
      </c>
      <c r="E40" s="32">
        <v>1.4</v>
      </c>
      <c r="F40" s="32">
        <v>0.1</v>
      </c>
      <c r="G40" s="28" t="s">
        <v>6</v>
      </c>
    </row>
    <row r="41" spans="2:7" x14ac:dyDescent="0.25">
      <c r="B41" s="32">
        <v>39</v>
      </c>
      <c r="C41" s="32">
        <v>4.4000000000000004</v>
      </c>
      <c r="D41" s="32">
        <v>3</v>
      </c>
      <c r="E41" s="32">
        <v>1.3</v>
      </c>
      <c r="F41" s="32">
        <v>0.2</v>
      </c>
      <c r="G41" s="28" t="s">
        <v>6</v>
      </c>
    </row>
    <row r="42" spans="2:7" x14ac:dyDescent="0.25">
      <c r="B42" s="32">
        <v>40</v>
      </c>
      <c r="C42" s="32">
        <v>5.0999999999999996</v>
      </c>
      <c r="D42" s="32">
        <v>3.4</v>
      </c>
      <c r="E42" s="32">
        <v>1.5</v>
      </c>
      <c r="F42" s="32">
        <v>0.2</v>
      </c>
      <c r="G42" s="28" t="s">
        <v>6</v>
      </c>
    </row>
    <row r="43" spans="2:7" x14ac:dyDescent="0.25">
      <c r="B43" s="32">
        <v>41</v>
      </c>
      <c r="C43" s="32">
        <v>5</v>
      </c>
      <c r="D43" s="32">
        <v>3.5</v>
      </c>
      <c r="E43" s="32">
        <v>1.3</v>
      </c>
      <c r="F43" s="32">
        <v>0.3</v>
      </c>
      <c r="G43" s="28" t="s">
        <v>6</v>
      </c>
    </row>
    <row r="44" spans="2:7" x14ac:dyDescent="0.25">
      <c r="B44" s="32">
        <v>42</v>
      </c>
      <c r="C44" s="32">
        <v>4.5</v>
      </c>
      <c r="D44" s="32">
        <v>2.2999999999999998</v>
      </c>
      <c r="E44" s="32">
        <v>1.3</v>
      </c>
      <c r="F44" s="32">
        <v>0.3</v>
      </c>
      <c r="G44" s="28" t="s">
        <v>6</v>
      </c>
    </row>
    <row r="45" spans="2:7" x14ac:dyDescent="0.25">
      <c r="B45" s="32">
        <v>43</v>
      </c>
      <c r="C45" s="32">
        <v>4.4000000000000004</v>
      </c>
      <c r="D45" s="32">
        <v>3.2</v>
      </c>
      <c r="E45" s="32">
        <v>1.3</v>
      </c>
      <c r="F45" s="32">
        <v>0.2</v>
      </c>
      <c r="G45" s="28" t="s">
        <v>6</v>
      </c>
    </row>
    <row r="46" spans="2:7" x14ac:dyDescent="0.25">
      <c r="B46" s="32">
        <v>44</v>
      </c>
      <c r="C46" s="32">
        <v>5</v>
      </c>
      <c r="D46" s="32">
        <v>3.5</v>
      </c>
      <c r="E46" s="32">
        <v>1.6</v>
      </c>
      <c r="F46" s="32">
        <v>0.6</v>
      </c>
      <c r="G46" s="28" t="s">
        <v>6</v>
      </c>
    </row>
    <row r="47" spans="2:7" x14ac:dyDescent="0.25">
      <c r="B47" s="32">
        <v>45</v>
      </c>
      <c r="C47" s="32">
        <v>5.0999999999999996</v>
      </c>
      <c r="D47" s="32">
        <v>3.8</v>
      </c>
      <c r="E47" s="32">
        <v>1.9</v>
      </c>
      <c r="F47" s="32">
        <v>0.4</v>
      </c>
      <c r="G47" s="28" t="s">
        <v>6</v>
      </c>
    </row>
    <row r="48" spans="2:7" x14ac:dyDescent="0.25">
      <c r="B48" s="32">
        <v>46</v>
      </c>
      <c r="C48" s="32">
        <v>4.8</v>
      </c>
      <c r="D48" s="32">
        <v>3</v>
      </c>
      <c r="E48" s="32">
        <v>1.4</v>
      </c>
      <c r="F48" s="32">
        <v>0.3</v>
      </c>
      <c r="G48" s="28" t="s">
        <v>6</v>
      </c>
    </row>
    <row r="49" spans="2:7" x14ac:dyDescent="0.25">
      <c r="B49" s="32">
        <v>47</v>
      </c>
      <c r="C49" s="32">
        <v>5.0999999999999996</v>
      </c>
      <c r="D49" s="32">
        <v>3.8</v>
      </c>
      <c r="E49" s="32">
        <v>1.6</v>
      </c>
      <c r="F49" s="32">
        <v>0.2</v>
      </c>
      <c r="G49" s="28" t="s">
        <v>6</v>
      </c>
    </row>
    <row r="50" spans="2:7" x14ac:dyDescent="0.25">
      <c r="B50" s="32">
        <v>48</v>
      </c>
      <c r="C50" s="32">
        <v>4.5999999999999996</v>
      </c>
      <c r="D50" s="32">
        <v>3.2</v>
      </c>
      <c r="E50" s="32">
        <v>1.4</v>
      </c>
      <c r="F50" s="32">
        <v>0.2</v>
      </c>
      <c r="G50" s="28" t="s">
        <v>6</v>
      </c>
    </row>
    <row r="51" spans="2:7" x14ac:dyDescent="0.25">
      <c r="B51" s="32">
        <v>49</v>
      </c>
      <c r="C51" s="32">
        <v>5.3</v>
      </c>
      <c r="D51" s="32">
        <v>3.7</v>
      </c>
      <c r="E51" s="32">
        <v>1.5</v>
      </c>
      <c r="F51" s="32">
        <v>0.2</v>
      </c>
      <c r="G51" s="28" t="s">
        <v>6</v>
      </c>
    </row>
    <row r="52" spans="2:7" x14ac:dyDescent="0.25">
      <c r="B52" s="32">
        <v>50</v>
      </c>
      <c r="C52" s="32">
        <v>5</v>
      </c>
      <c r="D52" s="32">
        <v>3.3</v>
      </c>
      <c r="E52" s="32">
        <v>1.4</v>
      </c>
      <c r="F52" s="32">
        <v>0.2</v>
      </c>
      <c r="G52" s="28" t="s">
        <v>6</v>
      </c>
    </row>
    <row r="53" spans="2:7" x14ac:dyDescent="0.25">
      <c r="B53" s="30">
        <v>51</v>
      </c>
      <c r="C53" s="30">
        <v>7</v>
      </c>
      <c r="D53" s="30">
        <v>3.2</v>
      </c>
      <c r="E53" s="30">
        <v>4.7</v>
      </c>
      <c r="F53" s="30">
        <v>1.4</v>
      </c>
      <c r="G53" s="29" t="s">
        <v>12</v>
      </c>
    </row>
    <row r="54" spans="2:7" x14ac:dyDescent="0.25">
      <c r="B54" s="30">
        <v>52</v>
      </c>
      <c r="C54" s="30">
        <v>6.4</v>
      </c>
      <c r="D54" s="30">
        <v>3.2</v>
      </c>
      <c r="E54" s="30">
        <v>4.5</v>
      </c>
      <c r="F54" s="30">
        <v>1.5</v>
      </c>
      <c r="G54" s="29" t="s">
        <v>12</v>
      </c>
    </row>
    <row r="55" spans="2:7" x14ac:dyDescent="0.25">
      <c r="B55" s="30">
        <v>53</v>
      </c>
      <c r="C55" s="30">
        <v>6.9</v>
      </c>
      <c r="D55" s="30">
        <v>3.1</v>
      </c>
      <c r="E55" s="30">
        <v>4.9000000000000004</v>
      </c>
      <c r="F55" s="30">
        <v>1.5</v>
      </c>
      <c r="G55" s="29" t="s">
        <v>12</v>
      </c>
    </row>
    <row r="56" spans="2:7" x14ac:dyDescent="0.25">
      <c r="B56" s="30">
        <v>54</v>
      </c>
      <c r="C56" s="30">
        <v>5.5</v>
      </c>
      <c r="D56" s="30">
        <v>2.2999999999999998</v>
      </c>
      <c r="E56" s="30">
        <v>4</v>
      </c>
      <c r="F56" s="30">
        <v>1.3</v>
      </c>
      <c r="G56" s="29" t="s">
        <v>12</v>
      </c>
    </row>
    <row r="57" spans="2:7" x14ac:dyDescent="0.25">
      <c r="B57" s="30">
        <v>55</v>
      </c>
      <c r="C57" s="30">
        <v>6.5</v>
      </c>
      <c r="D57" s="30">
        <v>2.8</v>
      </c>
      <c r="E57" s="30">
        <v>4.5999999999999996</v>
      </c>
      <c r="F57" s="30">
        <v>1.5</v>
      </c>
      <c r="G57" s="29" t="s">
        <v>12</v>
      </c>
    </row>
    <row r="58" spans="2:7" x14ac:dyDescent="0.25">
      <c r="B58" s="30">
        <v>56</v>
      </c>
      <c r="C58" s="30">
        <v>5.7</v>
      </c>
      <c r="D58" s="30">
        <v>2.8</v>
      </c>
      <c r="E58" s="30">
        <v>4.5</v>
      </c>
      <c r="F58" s="30">
        <v>1.3</v>
      </c>
      <c r="G58" s="29" t="s">
        <v>12</v>
      </c>
    </row>
    <row r="59" spans="2:7" x14ac:dyDescent="0.25">
      <c r="B59" s="30">
        <v>57</v>
      </c>
      <c r="C59" s="30">
        <v>6.3</v>
      </c>
      <c r="D59" s="30">
        <v>3.3</v>
      </c>
      <c r="E59" s="30">
        <v>4.7</v>
      </c>
      <c r="F59" s="30">
        <v>1.6</v>
      </c>
      <c r="G59" s="29" t="s">
        <v>12</v>
      </c>
    </row>
    <row r="60" spans="2:7" x14ac:dyDescent="0.25">
      <c r="B60" s="30">
        <v>58</v>
      </c>
      <c r="C60" s="30">
        <v>4.9000000000000004</v>
      </c>
      <c r="D60" s="30">
        <v>2.4</v>
      </c>
      <c r="E60" s="30">
        <v>3.3</v>
      </c>
      <c r="F60" s="30">
        <v>1</v>
      </c>
      <c r="G60" s="29" t="s">
        <v>12</v>
      </c>
    </row>
    <row r="61" spans="2:7" x14ac:dyDescent="0.25">
      <c r="B61" s="30">
        <v>59</v>
      </c>
      <c r="C61" s="30">
        <v>6.6</v>
      </c>
      <c r="D61" s="30">
        <v>2.9</v>
      </c>
      <c r="E61" s="30">
        <v>4.5999999999999996</v>
      </c>
      <c r="F61" s="30">
        <v>1.3</v>
      </c>
      <c r="G61" s="29" t="s">
        <v>12</v>
      </c>
    </row>
    <row r="62" spans="2:7" x14ac:dyDescent="0.25">
      <c r="B62" s="30">
        <v>60</v>
      </c>
      <c r="C62" s="30">
        <v>5.2</v>
      </c>
      <c r="D62" s="30">
        <v>2.7</v>
      </c>
      <c r="E62" s="30">
        <v>3.9</v>
      </c>
      <c r="F62" s="30">
        <v>1.4</v>
      </c>
      <c r="G62" s="29" t="s">
        <v>12</v>
      </c>
    </row>
    <row r="63" spans="2:7" x14ac:dyDescent="0.25">
      <c r="B63" s="30">
        <v>61</v>
      </c>
      <c r="C63" s="30">
        <v>5</v>
      </c>
      <c r="D63" s="30">
        <v>2</v>
      </c>
      <c r="E63" s="30">
        <v>3.5</v>
      </c>
      <c r="F63" s="30">
        <v>1</v>
      </c>
      <c r="G63" s="29" t="s">
        <v>12</v>
      </c>
    </row>
    <row r="64" spans="2:7" x14ac:dyDescent="0.25">
      <c r="B64" s="30">
        <v>62</v>
      </c>
      <c r="C64" s="30">
        <v>5.9</v>
      </c>
      <c r="D64" s="30">
        <v>3</v>
      </c>
      <c r="E64" s="30">
        <v>4.2</v>
      </c>
      <c r="F64" s="30">
        <v>1.5</v>
      </c>
      <c r="G64" s="29" t="s">
        <v>12</v>
      </c>
    </row>
    <row r="65" spans="2:7" x14ac:dyDescent="0.25">
      <c r="B65" s="30">
        <v>63</v>
      </c>
      <c r="C65" s="30">
        <v>6</v>
      </c>
      <c r="D65" s="30">
        <v>2.2000000000000002</v>
      </c>
      <c r="E65" s="30">
        <v>4</v>
      </c>
      <c r="F65" s="30">
        <v>1</v>
      </c>
      <c r="G65" s="29" t="s">
        <v>12</v>
      </c>
    </row>
    <row r="66" spans="2:7" x14ac:dyDescent="0.25">
      <c r="B66" s="30">
        <v>64</v>
      </c>
      <c r="C66" s="30">
        <v>6.1</v>
      </c>
      <c r="D66" s="30">
        <v>2.9</v>
      </c>
      <c r="E66" s="30">
        <v>4.7</v>
      </c>
      <c r="F66" s="30">
        <v>1.4</v>
      </c>
      <c r="G66" s="29" t="s">
        <v>12</v>
      </c>
    </row>
    <row r="67" spans="2:7" x14ac:dyDescent="0.25">
      <c r="B67" s="30">
        <v>65</v>
      </c>
      <c r="C67" s="30">
        <v>5.6</v>
      </c>
      <c r="D67" s="30">
        <v>2.9</v>
      </c>
      <c r="E67" s="30">
        <v>3.6</v>
      </c>
      <c r="F67" s="30">
        <v>1.3</v>
      </c>
      <c r="G67" s="29" t="s">
        <v>12</v>
      </c>
    </row>
    <row r="68" spans="2:7" x14ac:dyDescent="0.25">
      <c r="B68" s="30">
        <v>66</v>
      </c>
      <c r="C68" s="30">
        <v>6.7</v>
      </c>
      <c r="D68" s="30">
        <v>3.1</v>
      </c>
      <c r="E68" s="30">
        <v>4.4000000000000004</v>
      </c>
      <c r="F68" s="30">
        <v>1.4</v>
      </c>
      <c r="G68" s="29" t="s">
        <v>12</v>
      </c>
    </row>
    <row r="69" spans="2:7" x14ac:dyDescent="0.25">
      <c r="B69" s="30">
        <v>67</v>
      </c>
      <c r="C69" s="30">
        <v>5.6</v>
      </c>
      <c r="D69" s="30">
        <v>3</v>
      </c>
      <c r="E69" s="30">
        <v>4.5</v>
      </c>
      <c r="F69" s="30">
        <v>1.5</v>
      </c>
      <c r="G69" s="29" t="s">
        <v>12</v>
      </c>
    </row>
    <row r="70" spans="2:7" x14ac:dyDescent="0.25">
      <c r="B70" s="30">
        <v>68</v>
      </c>
      <c r="C70" s="30">
        <v>5.8</v>
      </c>
      <c r="D70" s="30">
        <v>2.7</v>
      </c>
      <c r="E70" s="30">
        <v>4.0999999999999996</v>
      </c>
      <c r="F70" s="30">
        <v>1</v>
      </c>
      <c r="G70" s="29" t="s">
        <v>12</v>
      </c>
    </row>
    <row r="71" spans="2:7" x14ac:dyDescent="0.25">
      <c r="B71" s="30">
        <v>69</v>
      </c>
      <c r="C71" s="30">
        <v>6.2</v>
      </c>
      <c r="D71" s="30">
        <v>2.2000000000000002</v>
      </c>
      <c r="E71" s="30">
        <v>4.5</v>
      </c>
      <c r="F71" s="30">
        <v>1.5</v>
      </c>
      <c r="G71" s="29" t="s">
        <v>12</v>
      </c>
    </row>
    <row r="72" spans="2:7" x14ac:dyDescent="0.25">
      <c r="B72" s="30">
        <v>70</v>
      </c>
      <c r="C72" s="30">
        <v>5.6</v>
      </c>
      <c r="D72" s="30">
        <v>2.5</v>
      </c>
      <c r="E72" s="30">
        <v>3.9</v>
      </c>
      <c r="F72" s="30">
        <v>1.1000000000000001</v>
      </c>
      <c r="G72" s="29" t="s">
        <v>12</v>
      </c>
    </row>
    <row r="73" spans="2:7" x14ac:dyDescent="0.25">
      <c r="B73" s="30">
        <v>71</v>
      </c>
      <c r="C73" s="30">
        <v>5.9</v>
      </c>
      <c r="D73" s="30">
        <v>3.2</v>
      </c>
      <c r="E73" s="30">
        <v>4.8</v>
      </c>
      <c r="F73" s="30">
        <v>1.8</v>
      </c>
      <c r="G73" s="29" t="s">
        <v>12</v>
      </c>
    </row>
    <row r="74" spans="2:7" x14ac:dyDescent="0.25">
      <c r="B74" s="30">
        <v>72</v>
      </c>
      <c r="C74" s="30">
        <v>6.1</v>
      </c>
      <c r="D74" s="30">
        <v>2.8</v>
      </c>
      <c r="E74" s="30">
        <v>4</v>
      </c>
      <c r="F74" s="30">
        <v>1.3</v>
      </c>
      <c r="G74" s="29" t="s">
        <v>12</v>
      </c>
    </row>
    <row r="75" spans="2:7" x14ac:dyDescent="0.25">
      <c r="B75" s="30">
        <v>73</v>
      </c>
      <c r="C75" s="30">
        <v>6.3</v>
      </c>
      <c r="D75" s="30">
        <v>2.5</v>
      </c>
      <c r="E75" s="30">
        <v>4.9000000000000004</v>
      </c>
      <c r="F75" s="30">
        <v>1.5</v>
      </c>
      <c r="G75" s="29" t="s">
        <v>12</v>
      </c>
    </row>
    <row r="76" spans="2:7" x14ac:dyDescent="0.25">
      <c r="B76" s="30">
        <v>74</v>
      </c>
      <c r="C76" s="30">
        <v>6.1</v>
      </c>
      <c r="D76" s="30">
        <v>2.8</v>
      </c>
      <c r="E76" s="30">
        <v>4.7</v>
      </c>
      <c r="F76" s="30">
        <v>1.2</v>
      </c>
      <c r="G76" s="29" t="s">
        <v>12</v>
      </c>
    </row>
    <row r="77" spans="2:7" x14ac:dyDescent="0.25">
      <c r="B77" s="30">
        <v>75</v>
      </c>
      <c r="C77" s="30">
        <v>6.4</v>
      </c>
      <c r="D77" s="30">
        <v>2.9</v>
      </c>
      <c r="E77" s="30">
        <v>4.3</v>
      </c>
      <c r="F77" s="30">
        <v>1.3</v>
      </c>
      <c r="G77" s="29" t="s">
        <v>12</v>
      </c>
    </row>
    <row r="78" spans="2:7" x14ac:dyDescent="0.25">
      <c r="B78" s="30">
        <v>76</v>
      </c>
      <c r="C78" s="30">
        <v>6.6</v>
      </c>
      <c r="D78" s="30">
        <v>3</v>
      </c>
      <c r="E78" s="30">
        <v>4.4000000000000004</v>
      </c>
      <c r="F78" s="30">
        <v>1.4</v>
      </c>
      <c r="G78" s="29" t="s">
        <v>12</v>
      </c>
    </row>
    <row r="79" spans="2:7" x14ac:dyDescent="0.25">
      <c r="B79" s="30">
        <v>77</v>
      </c>
      <c r="C79" s="30">
        <v>6.8</v>
      </c>
      <c r="D79" s="30">
        <v>2.8</v>
      </c>
      <c r="E79" s="30">
        <v>4.8</v>
      </c>
      <c r="F79" s="30">
        <v>1.4</v>
      </c>
      <c r="G79" s="29" t="s">
        <v>12</v>
      </c>
    </row>
    <row r="80" spans="2:7" x14ac:dyDescent="0.25">
      <c r="B80" s="30">
        <v>78</v>
      </c>
      <c r="C80" s="30">
        <v>6.7</v>
      </c>
      <c r="D80" s="30">
        <v>3</v>
      </c>
      <c r="E80" s="30">
        <v>5</v>
      </c>
      <c r="F80" s="30">
        <v>1.7</v>
      </c>
      <c r="G80" s="29" t="s">
        <v>12</v>
      </c>
    </row>
    <row r="81" spans="2:7" x14ac:dyDescent="0.25">
      <c r="B81" s="30">
        <v>79</v>
      </c>
      <c r="C81" s="30">
        <v>6</v>
      </c>
      <c r="D81" s="30">
        <v>2.9</v>
      </c>
      <c r="E81" s="30">
        <v>4.5</v>
      </c>
      <c r="F81" s="30">
        <v>1.5</v>
      </c>
      <c r="G81" s="29" t="s">
        <v>12</v>
      </c>
    </row>
    <row r="82" spans="2:7" x14ac:dyDescent="0.25">
      <c r="B82" s="30">
        <v>80</v>
      </c>
      <c r="C82" s="30">
        <v>5.7</v>
      </c>
      <c r="D82" s="30">
        <v>2.6</v>
      </c>
      <c r="E82" s="30">
        <v>3.5</v>
      </c>
      <c r="F82" s="30">
        <v>1</v>
      </c>
      <c r="G82" s="29" t="s">
        <v>12</v>
      </c>
    </row>
    <row r="83" spans="2:7" x14ac:dyDescent="0.25">
      <c r="B83" s="30">
        <v>81</v>
      </c>
      <c r="C83" s="30">
        <v>5.5</v>
      </c>
      <c r="D83" s="30">
        <v>2.4</v>
      </c>
      <c r="E83" s="30">
        <v>3.8</v>
      </c>
      <c r="F83" s="30">
        <v>1.1000000000000001</v>
      </c>
      <c r="G83" s="29" t="s">
        <v>12</v>
      </c>
    </row>
    <row r="84" spans="2:7" x14ac:dyDescent="0.25">
      <c r="B84" s="30">
        <v>82</v>
      </c>
      <c r="C84" s="30">
        <v>5.5</v>
      </c>
      <c r="D84" s="30">
        <v>2.4</v>
      </c>
      <c r="E84" s="30">
        <v>3.7</v>
      </c>
      <c r="F84" s="30">
        <v>1</v>
      </c>
      <c r="G84" s="29" t="s">
        <v>12</v>
      </c>
    </row>
    <row r="85" spans="2:7" x14ac:dyDescent="0.25">
      <c r="B85" s="30">
        <v>83</v>
      </c>
      <c r="C85" s="30">
        <v>5.8</v>
      </c>
      <c r="D85" s="30">
        <v>2.7</v>
      </c>
      <c r="E85" s="30">
        <v>3.9</v>
      </c>
      <c r="F85" s="30">
        <v>1.2</v>
      </c>
      <c r="G85" s="29" t="s">
        <v>12</v>
      </c>
    </row>
    <row r="86" spans="2:7" x14ac:dyDescent="0.25">
      <c r="B86" s="30">
        <v>84</v>
      </c>
      <c r="C86" s="30">
        <v>6</v>
      </c>
      <c r="D86" s="30">
        <v>2.7</v>
      </c>
      <c r="E86" s="30">
        <v>5.0999999999999996</v>
      </c>
      <c r="F86" s="30">
        <v>1.6</v>
      </c>
      <c r="G86" s="29" t="s">
        <v>12</v>
      </c>
    </row>
    <row r="87" spans="2:7" x14ac:dyDescent="0.25">
      <c r="B87" s="30">
        <v>85</v>
      </c>
      <c r="C87" s="30">
        <v>5.4</v>
      </c>
      <c r="D87" s="30">
        <v>3</v>
      </c>
      <c r="E87" s="30">
        <v>4.5</v>
      </c>
      <c r="F87" s="30">
        <v>1.5</v>
      </c>
      <c r="G87" s="29" t="s">
        <v>12</v>
      </c>
    </row>
    <row r="88" spans="2:7" x14ac:dyDescent="0.25">
      <c r="B88" s="30">
        <v>86</v>
      </c>
      <c r="C88" s="30">
        <v>6</v>
      </c>
      <c r="D88" s="30">
        <v>3.4</v>
      </c>
      <c r="E88" s="30">
        <v>4.5</v>
      </c>
      <c r="F88" s="30">
        <v>1.6</v>
      </c>
      <c r="G88" s="29" t="s">
        <v>12</v>
      </c>
    </row>
    <row r="89" spans="2:7" x14ac:dyDescent="0.25">
      <c r="B89" s="30">
        <v>87</v>
      </c>
      <c r="C89" s="30">
        <v>6.7</v>
      </c>
      <c r="D89" s="30">
        <v>3.1</v>
      </c>
      <c r="E89" s="30">
        <v>4.7</v>
      </c>
      <c r="F89" s="30">
        <v>1.5</v>
      </c>
      <c r="G89" s="29" t="s">
        <v>12</v>
      </c>
    </row>
    <row r="90" spans="2:7" x14ac:dyDescent="0.25">
      <c r="B90" s="30">
        <v>88</v>
      </c>
      <c r="C90" s="30">
        <v>6.3</v>
      </c>
      <c r="D90" s="30">
        <v>2.2999999999999998</v>
      </c>
      <c r="E90" s="30">
        <v>4.4000000000000004</v>
      </c>
      <c r="F90" s="30">
        <v>1.3</v>
      </c>
      <c r="G90" s="29" t="s">
        <v>12</v>
      </c>
    </row>
    <row r="91" spans="2:7" x14ac:dyDescent="0.25">
      <c r="B91" s="30">
        <v>89</v>
      </c>
      <c r="C91" s="30">
        <v>5.6</v>
      </c>
      <c r="D91" s="30">
        <v>3</v>
      </c>
      <c r="E91" s="30">
        <v>4.0999999999999996</v>
      </c>
      <c r="F91" s="30">
        <v>1.3</v>
      </c>
      <c r="G91" s="29" t="s">
        <v>12</v>
      </c>
    </row>
    <row r="92" spans="2:7" x14ac:dyDescent="0.25">
      <c r="B92" s="30">
        <v>90</v>
      </c>
      <c r="C92" s="30">
        <v>5.5</v>
      </c>
      <c r="D92" s="30">
        <v>2.5</v>
      </c>
      <c r="E92" s="30">
        <v>4</v>
      </c>
      <c r="F92" s="30">
        <v>1.3</v>
      </c>
      <c r="G92" s="29" t="s">
        <v>12</v>
      </c>
    </row>
    <row r="93" spans="2:7" x14ac:dyDescent="0.25">
      <c r="B93" s="30">
        <v>91</v>
      </c>
      <c r="C93" s="30">
        <v>5.5</v>
      </c>
      <c r="D93" s="30">
        <v>2.6</v>
      </c>
      <c r="E93" s="30">
        <v>4.4000000000000004</v>
      </c>
      <c r="F93" s="30">
        <v>1.2</v>
      </c>
      <c r="G93" s="29" t="s">
        <v>12</v>
      </c>
    </row>
    <row r="94" spans="2:7" x14ac:dyDescent="0.25">
      <c r="B94" s="30">
        <v>92</v>
      </c>
      <c r="C94" s="30">
        <v>6.1</v>
      </c>
      <c r="D94" s="30">
        <v>3</v>
      </c>
      <c r="E94" s="30">
        <v>4.5999999999999996</v>
      </c>
      <c r="F94" s="30">
        <v>1.4</v>
      </c>
      <c r="G94" s="29" t="s">
        <v>12</v>
      </c>
    </row>
    <row r="95" spans="2:7" x14ac:dyDescent="0.25">
      <c r="B95" s="30">
        <v>93</v>
      </c>
      <c r="C95" s="30">
        <v>5.8</v>
      </c>
      <c r="D95" s="30">
        <v>2.6</v>
      </c>
      <c r="E95" s="30">
        <v>4</v>
      </c>
      <c r="F95" s="30">
        <v>1.2</v>
      </c>
      <c r="G95" s="29" t="s">
        <v>12</v>
      </c>
    </row>
    <row r="96" spans="2:7" x14ac:dyDescent="0.25">
      <c r="B96" s="30">
        <v>94</v>
      </c>
      <c r="C96" s="30">
        <v>5</v>
      </c>
      <c r="D96" s="30">
        <v>2.2999999999999998</v>
      </c>
      <c r="E96" s="30">
        <v>3.3</v>
      </c>
      <c r="F96" s="30">
        <v>1</v>
      </c>
      <c r="G96" s="29" t="s">
        <v>12</v>
      </c>
    </row>
    <row r="97" spans="2:7" x14ac:dyDescent="0.25">
      <c r="B97" s="30">
        <v>95</v>
      </c>
      <c r="C97" s="30">
        <v>5.6</v>
      </c>
      <c r="D97" s="30">
        <v>2.7</v>
      </c>
      <c r="E97" s="30">
        <v>4.2</v>
      </c>
      <c r="F97" s="30">
        <v>1.3</v>
      </c>
      <c r="G97" s="29" t="s">
        <v>12</v>
      </c>
    </row>
    <row r="98" spans="2:7" x14ac:dyDescent="0.25">
      <c r="B98" s="30">
        <v>96</v>
      </c>
      <c r="C98" s="30">
        <v>5.7</v>
      </c>
      <c r="D98" s="30">
        <v>3</v>
      </c>
      <c r="E98" s="30">
        <v>4.2</v>
      </c>
      <c r="F98" s="30">
        <v>1.2</v>
      </c>
      <c r="G98" s="29" t="s">
        <v>12</v>
      </c>
    </row>
    <row r="99" spans="2:7" x14ac:dyDescent="0.25">
      <c r="B99" s="30">
        <v>97</v>
      </c>
      <c r="C99" s="30">
        <v>5.7</v>
      </c>
      <c r="D99" s="30">
        <v>2.9</v>
      </c>
      <c r="E99" s="30">
        <v>4.2</v>
      </c>
      <c r="F99" s="30">
        <v>1.3</v>
      </c>
      <c r="G99" s="29" t="s">
        <v>12</v>
      </c>
    </row>
    <row r="100" spans="2:7" x14ac:dyDescent="0.25">
      <c r="B100" s="30">
        <v>98</v>
      </c>
      <c r="C100" s="30">
        <v>6.2</v>
      </c>
      <c r="D100" s="30">
        <v>2.9</v>
      </c>
      <c r="E100" s="30">
        <v>4.3</v>
      </c>
      <c r="F100" s="30">
        <v>1.3</v>
      </c>
      <c r="G100" s="29" t="s">
        <v>12</v>
      </c>
    </row>
    <row r="101" spans="2:7" x14ac:dyDescent="0.25">
      <c r="B101" s="30">
        <v>99</v>
      </c>
      <c r="C101" s="30">
        <v>5.0999999999999996</v>
      </c>
      <c r="D101" s="30">
        <v>2.5</v>
      </c>
      <c r="E101" s="30">
        <v>3</v>
      </c>
      <c r="F101" s="30">
        <v>1.1000000000000001</v>
      </c>
      <c r="G101" s="29" t="s">
        <v>12</v>
      </c>
    </row>
    <row r="102" spans="2:7" x14ac:dyDescent="0.25">
      <c r="B102" s="30">
        <v>100</v>
      </c>
      <c r="C102" s="30">
        <v>5.7</v>
      </c>
      <c r="D102" s="30">
        <v>2.8</v>
      </c>
      <c r="E102" s="30">
        <v>4.0999999999999996</v>
      </c>
      <c r="F102" s="30">
        <v>1.3</v>
      </c>
      <c r="G102" s="29" t="s">
        <v>12</v>
      </c>
    </row>
    <row r="103" spans="2:7" x14ac:dyDescent="0.25">
      <c r="B103" s="35">
        <v>101</v>
      </c>
      <c r="C103" s="35">
        <v>6.3</v>
      </c>
      <c r="D103" s="35">
        <v>3.3</v>
      </c>
      <c r="E103" s="35">
        <v>6</v>
      </c>
      <c r="F103" s="35">
        <v>2.5</v>
      </c>
      <c r="G103" s="33" t="s">
        <v>13</v>
      </c>
    </row>
    <row r="104" spans="2:7" x14ac:dyDescent="0.25">
      <c r="B104" s="35">
        <v>102</v>
      </c>
      <c r="C104" s="35">
        <v>5.8</v>
      </c>
      <c r="D104" s="35">
        <v>2.7</v>
      </c>
      <c r="E104" s="35">
        <v>5.0999999999999996</v>
      </c>
      <c r="F104" s="35">
        <v>1.9</v>
      </c>
      <c r="G104" s="33" t="s">
        <v>13</v>
      </c>
    </row>
    <row r="105" spans="2:7" x14ac:dyDescent="0.25">
      <c r="B105" s="35">
        <v>103</v>
      </c>
      <c r="C105" s="35">
        <v>7.1</v>
      </c>
      <c r="D105" s="35">
        <v>3</v>
      </c>
      <c r="E105" s="35">
        <v>5.9</v>
      </c>
      <c r="F105" s="35">
        <v>2.1</v>
      </c>
      <c r="G105" s="33" t="s">
        <v>13</v>
      </c>
    </row>
    <row r="106" spans="2:7" x14ac:dyDescent="0.25">
      <c r="B106" s="35">
        <v>104</v>
      </c>
      <c r="C106" s="35">
        <v>6.3</v>
      </c>
      <c r="D106" s="35">
        <v>2.9</v>
      </c>
      <c r="E106" s="35">
        <v>5.6</v>
      </c>
      <c r="F106" s="35">
        <v>1.8</v>
      </c>
      <c r="G106" s="33" t="s">
        <v>13</v>
      </c>
    </row>
    <row r="107" spans="2:7" x14ac:dyDescent="0.25">
      <c r="B107" s="35">
        <v>105</v>
      </c>
      <c r="C107" s="35">
        <v>6.5</v>
      </c>
      <c r="D107" s="35">
        <v>3</v>
      </c>
      <c r="E107" s="35">
        <v>5.8</v>
      </c>
      <c r="F107" s="35">
        <v>2.2000000000000002</v>
      </c>
      <c r="G107" s="33" t="s">
        <v>13</v>
      </c>
    </row>
    <row r="108" spans="2:7" x14ac:dyDescent="0.25">
      <c r="B108" s="35">
        <v>106</v>
      </c>
      <c r="C108" s="35">
        <v>7.6</v>
      </c>
      <c r="D108" s="35">
        <v>3</v>
      </c>
      <c r="E108" s="35">
        <v>6.6</v>
      </c>
      <c r="F108" s="35">
        <v>2.1</v>
      </c>
      <c r="G108" s="33" t="s">
        <v>13</v>
      </c>
    </row>
    <row r="109" spans="2:7" x14ac:dyDescent="0.25">
      <c r="B109" s="35">
        <v>107</v>
      </c>
      <c r="C109" s="35">
        <v>4.9000000000000004</v>
      </c>
      <c r="D109" s="35">
        <v>2.5</v>
      </c>
      <c r="E109" s="35">
        <v>4.5</v>
      </c>
      <c r="F109" s="35">
        <v>1.7</v>
      </c>
      <c r="G109" s="33" t="s">
        <v>13</v>
      </c>
    </row>
    <row r="110" spans="2:7" x14ac:dyDescent="0.25">
      <c r="B110" s="35">
        <v>108</v>
      </c>
      <c r="C110" s="35">
        <v>7.3</v>
      </c>
      <c r="D110" s="35">
        <v>2.9</v>
      </c>
      <c r="E110" s="35">
        <v>6.3</v>
      </c>
      <c r="F110" s="35">
        <v>1.8</v>
      </c>
      <c r="G110" s="33" t="s">
        <v>13</v>
      </c>
    </row>
    <row r="111" spans="2:7" x14ac:dyDescent="0.25">
      <c r="B111" s="35">
        <v>109</v>
      </c>
      <c r="C111" s="35">
        <v>6.7</v>
      </c>
      <c r="D111" s="35">
        <v>2.5</v>
      </c>
      <c r="E111" s="35">
        <v>5.8</v>
      </c>
      <c r="F111" s="35">
        <v>1.8</v>
      </c>
      <c r="G111" s="33" t="s">
        <v>13</v>
      </c>
    </row>
    <row r="112" spans="2:7" x14ac:dyDescent="0.25">
      <c r="B112" s="35">
        <v>110</v>
      </c>
      <c r="C112" s="35">
        <v>7.2</v>
      </c>
      <c r="D112" s="35">
        <v>3.6</v>
      </c>
      <c r="E112" s="35">
        <v>6.1</v>
      </c>
      <c r="F112" s="35">
        <v>2.5</v>
      </c>
      <c r="G112" s="33" t="s">
        <v>13</v>
      </c>
    </row>
    <row r="113" spans="2:7" x14ac:dyDescent="0.25">
      <c r="B113" s="35">
        <v>111</v>
      </c>
      <c r="C113" s="35">
        <v>6.5</v>
      </c>
      <c r="D113" s="35">
        <v>3.2</v>
      </c>
      <c r="E113" s="35">
        <v>5.0999999999999996</v>
      </c>
      <c r="F113" s="35">
        <v>2</v>
      </c>
      <c r="G113" s="33" t="s">
        <v>13</v>
      </c>
    </row>
    <row r="114" spans="2:7" x14ac:dyDescent="0.25">
      <c r="B114" s="35">
        <v>112</v>
      </c>
      <c r="C114" s="35">
        <v>6.4</v>
      </c>
      <c r="D114" s="35">
        <v>2.7</v>
      </c>
      <c r="E114" s="35">
        <v>5.3</v>
      </c>
      <c r="F114" s="35">
        <v>1.9</v>
      </c>
      <c r="G114" s="33" t="s">
        <v>13</v>
      </c>
    </row>
    <row r="115" spans="2:7" x14ac:dyDescent="0.25">
      <c r="B115" s="35">
        <v>113</v>
      </c>
      <c r="C115" s="35">
        <v>6.8</v>
      </c>
      <c r="D115" s="35">
        <v>3</v>
      </c>
      <c r="E115" s="35">
        <v>5.5</v>
      </c>
      <c r="F115" s="35">
        <v>2.1</v>
      </c>
      <c r="G115" s="33" t="s">
        <v>13</v>
      </c>
    </row>
    <row r="116" spans="2:7" x14ac:dyDescent="0.25">
      <c r="B116" s="35">
        <v>114</v>
      </c>
      <c r="C116" s="35">
        <v>5.7</v>
      </c>
      <c r="D116" s="35">
        <v>2.5</v>
      </c>
      <c r="E116" s="35">
        <v>5</v>
      </c>
      <c r="F116" s="35">
        <v>2</v>
      </c>
      <c r="G116" s="33" t="s">
        <v>13</v>
      </c>
    </row>
    <row r="117" spans="2:7" x14ac:dyDescent="0.25">
      <c r="B117" s="35">
        <v>115</v>
      </c>
      <c r="C117" s="35">
        <v>5.8</v>
      </c>
      <c r="D117" s="35">
        <v>2.8</v>
      </c>
      <c r="E117" s="35">
        <v>5.0999999999999996</v>
      </c>
      <c r="F117" s="35">
        <v>2.4</v>
      </c>
      <c r="G117" s="33" t="s">
        <v>13</v>
      </c>
    </row>
    <row r="118" spans="2:7" x14ac:dyDescent="0.25">
      <c r="B118" s="35">
        <v>116</v>
      </c>
      <c r="C118" s="35">
        <v>6.4</v>
      </c>
      <c r="D118" s="35">
        <v>3.2</v>
      </c>
      <c r="E118" s="35">
        <v>5.3</v>
      </c>
      <c r="F118" s="35">
        <v>2.2999999999999998</v>
      </c>
      <c r="G118" s="33" t="s">
        <v>13</v>
      </c>
    </row>
    <row r="119" spans="2:7" x14ac:dyDescent="0.25">
      <c r="B119" s="35">
        <v>117</v>
      </c>
      <c r="C119" s="35">
        <v>6.5</v>
      </c>
      <c r="D119" s="35">
        <v>3</v>
      </c>
      <c r="E119" s="35">
        <v>5.5</v>
      </c>
      <c r="F119" s="35">
        <v>1.8</v>
      </c>
      <c r="G119" s="33" t="s">
        <v>13</v>
      </c>
    </row>
    <row r="120" spans="2:7" x14ac:dyDescent="0.25">
      <c r="B120" s="35">
        <v>118</v>
      </c>
      <c r="C120" s="35">
        <v>7.7</v>
      </c>
      <c r="D120" s="35">
        <v>3.8</v>
      </c>
      <c r="E120" s="35">
        <v>6.7</v>
      </c>
      <c r="F120" s="35">
        <v>2.2000000000000002</v>
      </c>
      <c r="G120" s="33" t="s">
        <v>13</v>
      </c>
    </row>
    <row r="121" spans="2:7" x14ac:dyDescent="0.25">
      <c r="B121" s="35">
        <v>119</v>
      </c>
      <c r="C121" s="35">
        <v>7.7</v>
      </c>
      <c r="D121" s="35">
        <v>2.6</v>
      </c>
      <c r="E121" s="35">
        <v>6.9</v>
      </c>
      <c r="F121" s="35">
        <v>2.2999999999999998</v>
      </c>
      <c r="G121" s="33" t="s">
        <v>13</v>
      </c>
    </row>
    <row r="122" spans="2:7" x14ac:dyDescent="0.25">
      <c r="B122" s="35">
        <v>120</v>
      </c>
      <c r="C122" s="35">
        <v>6</v>
      </c>
      <c r="D122" s="35">
        <v>2.2000000000000002</v>
      </c>
      <c r="E122" s="35">
        <v>5</v>
      </c>
      <c r="F122" s="35">
        <v>1.5</v>
      </c>
      <c r="G122" s="33" t="s">
        <v>13</v>
      </c>
    </row>
    <row r="123" spans="2:7" x14ac:dyDescent="0.25">
      <c r="B123" s="35">
        <v>121</v>
      </c>
      <c r="C123" s="35">
        <v>6.9</v>
      </c>
      <c r="D123" s="35">
        <v>3.2</v>
      </c>
      <c r="E123" s="35">
        <v>5.7</v>
      </c>
      <c r="F123" s="35">
        <v>2.2999999999999998</v>
      </c>
      <c r="G123" s="33" t="s">
        <v>13</v>
      </c>
    </row>
    <row r="124" spans="2:7" x14ac:dyDescent="0.25">
      <c r="B124" s="35">
        <v>122</v>
      </c>
      <c r="C124" s="35">
        <v>5.6</v>
      </c>
      <c r="D124" s="35">
        <v>2.8</v>
      </c>
      <c r="E124" s="35">
        <v>4.9000000000000004</v>
      </c>
      <c r="F124" s="35">
        <v>2</v>
      </c>
      <c r="G124" s="33" t="s">
        <v>13</v>
      </c>
    </row>
    <row r="125" spans="2:7" x14ac:dyDescent="0.25">
      <c r="B125" s="35">
        <v>123</v>
      </c>
      <c r="C125" s="35">
        <v>7.7</v>
      </c>
      <c r="D125" s="35">
        <v>2.8</v>
      </c>
      <c r="E125" s="35">
        <v>6.7</v>
      </c>
      <c r="F125" s="35">
        <v>2</v>
      </c>
      <c r="G125" s="33" t="s">
        <v>13</v>
      </c>
    </row>
    <row r="126" spans="2:7" x14ac:dyDescent="0.25">
      <c r="B126" s="35">
        <v>124</v>
      </c>
      <c r="C126" s="35">
        <v>6.3</v>
      </c>
      <c r="D126" s="35">
        <v>2.7</v>
      </c>
      <c r="E126" s="35">
        <v>4.9000000000000004</v>
      </c>
      <c r="F126" s="35">
        <v>1.8</v>
      </c>
      <c r="G126" s="33" t="s">
        <v>13</v>
      </c>
    </row>
    <row r="127" spans="2:7" x14ac:dyDescent="0.25">
      <c r="B127" s="35">
        <v>125</v>
      </c>
      <c r="C127" s="35">
        <v>6.7</v>
      </c>
      <c r="D127" s="35">
        <v>3.3</v>
      </c>
      <c r="E127" s="35">
        <v>5.7</v>
      </c>
      <c r="F127" s="35">
        <v>2.1</v>
      </c>
      <c r="G127" s="33" t="s">
        <v>13</v>
      </c>
    </row>
    <row r="128" spans="2:7" x14ac:dyDescent="0.25">
      <c r="B128" s="35">
        <v>126</v>
      </c>
      <c r="C128" s="35">
        <v>7.2</v>
      </c>
      <c r="D128" s="35">
        <v>3.2</v>
      </c>
      <c r="E128" s="35">
        <v>6</v>
      </c>
      <c r="F128" s="35">
        <v>1.8</v>
      </c>
      <c r="G128" s="33" t="s">
        <v>13</v>
      </c>
    </row>
    <row r="129" spans="2:7" x14ac:dyDescent="0.25">
      <c r="B129" s="35">
        <v>127</v>
      </c>
      <c r="C129" s="35">
        <v>6.2</v>
      </c>
      <c r="D129" s="35">
        <v>2.8</v>
      </c>
      <c r="E129" s="35">
        <v>4.8</v>
      </c>
      <c r="F129" s="35">
        <v>1.8</v>
      </c>
      <c r="G129" s="33" t="s">
        <v>13</v>
      </c>
    </row>
    <row r="130" spans="2:7" x14ac:dyDescent="0.25">
      <c r="B130" s="35">
        <v>128</v>
      </c>
      <c r="C130" s="35">
        <v>6.1</v>
      </c>
      <c r="D130" s="35">
        <v>3</v>
      </c>
      <c r="E130" s="35">
        <v>4.9000000000000004</v>
      </c>
      <c r="F130" s="35">
        <v>1.8</v>
      </c>
      <c r="G130" s="33" t="s">
        <v>13</v>
      </c>
    </row>
    <row r="131" spans="2:7" x14ac:dyDescent="0.25">
      <c r="B131" s="35">
        <v>129</v>
      </c>
      <c r="C131" s="35">
        <v>6.4</v>
      </c>
      <c r="D131" s="35">
        <v>2.8</v>
      </c>
      <c r="E131" s="35">
        <v>5.6</v>
      </c>
      <c r="F131" s="35">
        <v>2.1</v>
      </c>
      <c r="G131" s="33" t="s">
        <v>13</v>
      </c>
    </row>
    <row r="132" spans="2:7" x14ac:dyDescent="0.25">
      <c r="B132" s="35">
        <v>130</v>
      </c>
      <c r="C132" s="35">
        <v>7.2</v>
      </c>
      <c r="D132" s="35">
        <v>3</v>
      </c>
      <c r="E132" s="35">
        <v>5.8</v>
      </c>
      <c r="F132" s="35">
        <v>1.6</v>
      </c>
      <c r="G132" s="33" t="s">
        <v>13</v>
      </c>
    </row>
    <row r="133" spans="2:7" x14ac:dyDescent="0.25">
      <c r="B133" s="35">
        <v>131</v>
      </c>
      <c r="C133" s="35">
        <v>7.4</v>
      </c>
      <c r="D133" s="35">
        <v>2.8</v>
      </c>
      <c r="E133" s="35">
        <v>6.1</v>
      </c>
      <c r="F133" s="35">
        <v>1.9</v>
      </c>
      <c r="G133" s="33" t="s">
        <v>13</v>
      </c>
    </row>
    <row r="134" spans="2:7" x14ac:dyDescent="0.25">
      <c r="B134" s="35">
        <v>132</v>
      </c>
      <c r="C134" s="35">
        <v>7.9</v>
      </c>
      <c r="D134" s="35">
        <v>3.8</v>
      </c>
      <c r="E134" s="35">
        <v>6.4</v>
      </c>
      <c r="F134" s="35">
        <v>2</v>
      </c>
      <c r="G134" s="33" t="s">
        <v>13</v>
      </c>
    </row>
    <row r="135" spans="2:7" x14ac:dyDescent="0.25">
      <c r="B135" s="35">
        <v>133</v>
      </c>
      <c r="C135" s="35">
        <v>6.4</v>
      </c>
      <c r="D135" s="35">
        <v>2.8</v>
      </c>
      <c r="E135" s="35">
        <v>5.6</v>
      </c>
      <c r="F135" s="35">
        <v>2.2000000000000002</v>
      </c>
      <c r="G135" s="33" t="s">
        <v>13</v>
      </c>
    </row>
    <row r="136" spans="2:7" x14ac:dyDescent="0.25">
      <c r="B136" s="35">
        <v>134</v>
      </c>
      <c r="C136" s="35">
        <v>6.3</v>
      </c>
      <c r="D136" s="35">
        <v>2.8</v>
      </c>
      <c r="E136" s="35">
        <v>5.0999999999999996</v>
      </c>
      <c r="F136" s="35">
        <v>1.5</v>
      </c>
      <c r="G136" s="33" t="s">
        <v>13</v>
      </c>
    </row>
    <row r="137" spans="2:7" x14ac:dyDescent="0.25">
      <c r="B137" s="35">
        <v>135</v>
      </c>
      <c r="C137" s="35">
        <v>6.1</v>
      </c>
      <c r="D137" s="35">
        <v>2.6</v>
      </c>
      <c r="E137" s="35">
        <v>5.6</v>
      </c>
      <c r="F137" s="35">
        <v>1.4</v>
      </c>
      <c r="G137" s="33" t="s">
        <v>13</v>
      </c>
    </row>
    <row r="138" spans="2:7" x14ac:dyDescent="0.25">
      <c r="B138" s="35">
        <v>136</v>
      </c>
      <c r="C138" s="35">
        <v>7.7</v>
      </c>
      <c r="D138" s="35">
        <v>3</v>
      </c>
      <c r="E138" s="35">
        <v>6.1</v>
      </c>
      <c r="F138" s="35">
        <v>2.2999999999999998</v>
      </c>
      <c r="G138" s="33" t="s">
        <v>13</v>
      </c>
    </row>
    <row r="139" spans="2:7" x14ac:dyDescent="0.25">
      <c r="B139" s="35">
        <v>137</v>
      </c>
      <c r="C139" s="35">
        <v>6.3</v>
      </c>
      <c r="D139" s="35">
        <v>3.4</v>
      </c>
      <c r="E139" s="35">
        <v>5.6</v>
      </c>
      <c r="F139" s="35">
        <v>2.4</v>
      </c>
      <c r="G139" s="33" t="s">
        <v>13</v>
      </c>
    </row>
    <row r="140" spans="2:7" x14ac:dyDescent="0.25">
      <c r="B140" s="35">
        <v>138</v>
      </c>
      <c r="C140" s="35">
        <v>6.4</v>
      </c>
      <c r="D140" s="35">
        <v>3.1</v>
      </c>
      <c r="E140" s="35">
        <v>5.5</v>
      </c>
      <c r="F140" s="35">
        <v>1.8</v>
      </c>
      <c r="G140" s="33" t="s">
        <v>13</v>
      </c>
    </row>
    <row r="141" spans="2:7" x14ac:dyDescent="0.25">
      <c r="B141" s="35">
        <v>139</v>
      </c>
      <c r="C141" s="35">
        <v>6</v>
      </c>
      <c r="D141" s="35">
        <v>3</v>
      </c>
      <c r="E141" s="35">
        <v>4.8</v>
      </c>
      <c r="F141" s="35">
        <v>1.8</v>
      </c>
      <c r="G141" s="33" t="s">
        <v>13</v>
      </c>
    </row>
    <row r="142" spans="2:7" x14ac:dyDescent="0.25">
      <c r="B142" s="35">
        <v>140</v>
      </c>
      <c r="C142" s="35">
        <v>6.9</v>
      </c>
      <c r="D142" s="35">
        <v>3.1</v>
      </c>
      <c r="E142" s="35">
        <v>5.4</v>
      </c>
      <c r="F142" s="35">
        <v>2.1</v>
      </c>
      <c r="G142" s="33" t="s">
        <v>13</v>
      </c>
    </row>
    <row r="143" spans="2:7" x14ac:dyDescent="0.25">
      <c r="B143" s="35">
        <v>141</v>
      </c>
      <c r="C143" s="35">
        <v>6.7</v>
      </c>
      <c r="D143" s="35">
        <v>3.1</v>
      </c>
      <c r="E143" s="35">
        <v>5.6</v>
      </c>
      <c r="F143" s="35">
        <v>2.4</v>
      </c>
      <c r="G143" s="33" t="s">
        <v>13</v>
      </c>
    </row>
    <row r="144" spans="2:7" x14ac:dyDescent="0.25">
      <c r="B144" s="35">
        <v>142</v>
      </c>
      <c r="C144" s="35">
        <v>6.9</v>
      </c>
      <c r="D144" s="35">
        <v>3.1</v>
      </c>
      <c r="E144" s="35">
        <v>5.0999999999999996</v>
      </c>
      <c r="F144" s="35">
        <v>2.2999999999999998</v>
      </c>
      <c r="G144" s="33" t="s">
        <v>13</v>
      </c>
    </row>
    <row r="145" spans="2:7" x14ac:dyDescent="0.25">
      <c r="B145" s="35">
        <v>143</v>
      </c>
      <c r="C145" s="35">
        <v>5.8</v>
      </c>
      <c r="D145" s="35">
        <v>2.7</v>
      </c>
      <c r="E145" s="35">
        <v>5.0999999999999996</v>
      </c>
      <c r="F145" s="35">
        <v>1.9</v>
      </c>
      <c r="G145" s="33" t="s">
        <v>13</v>
      </c>
    </row>
    <row r="146" spans="2:7" x14ac:dyDescent="0.25">
      <c r="B146" s="35">
        <v>144</v>
      </c>
      <c r="C146" s="35">
        <v>6.8</v>
      </c>
      <c r="D146" s="35">
        <v>3.2</v>
      </c>
      <c r="E146" s="35">
        <v>5.9</v>
      </c>
      <c r="F146" s="35">
        <v>2.2999999999999998</v>
      </c>
      <c r="G146" s="33" t="s">
        <v>13</v>
      </c>
    </row>
    <row r="147" spans="2:7" x14ac:dyDescent="0.25">
      <c r="B147" s="35">
        <v>145</v>
      </c>
      <c r="C147" s="35">
        <v>6.7</v>
      </c>
      <c r="D147" s="35">
        <v>3.3</v>
      </c>
      <c r="E147" s="35">
        <v>5.7</v>
      </c>
      <c r="F147" s="35">
        <v>2.5</v>
      </c>
      <c r="G147" s="33" t="s">
        <v>13</v>
      </c>
    </row>
    <row r="148" spans="2:7" x14ac:dyDescent="0.25">
      <c r="B148" s="35">
        <v>146</v>
      </c>
      <c r="C148" s="35">
        <v>6.7</v>
      </c>
      <c r="D148" s="35">
        <v>3</v>
      </c>
      <c r="E148" s="35">
        <v>5.2</v>
      </c>
      <c r="F148" s="35">
        <v>2.2999999999999998</v>
      </c>
      <c r="G148" s="33" t="s">
        <v>13</v>
      </c>
    </row>
    <row r="149" spans="2:7" x14ac:dyDescent="0.25">
      <c r="B149" s="35">
        <v>147</v>
      </c>
      <c r="C149" s="35">
        <v>6.3</v>
      </c>
      <c r="D149" s="35">
        <v>2.5</v>
      </c>
      <c r="E149" s="35">
        <v>5</v>
      </c>
      <c r="F149" s="35">
        <v>1.9</v>
      </c>
      <c r="G149" s="33" t="s">
        <v>13</v>
      </c>
    </row>
    <row r="150" spans="2:7" x14ac:dyDescent="0.25">
      <c r="B150" s="35">
        <v>148</v>
      </c>
      <c r="C150" s="35">
        <v>6.5</v>
      </c>
      <c r="D150" s="35">
        <v>3</v>
      </c>
      <c r="E150" s="35">
        <v>5.2</v>
      </c>
      <c r="F150" s="35">
        <v>2</v>
      </c>
      <c r="G150" s="33" t="s">
        <v>13</v>
      </c>
    </row>
    <row r="151" spans="2:7" x14ac:dyDescent="0.25">
      <c r="B151" s="35">
        <v>149</v>
      </c>
      <c r="C151" s="35">
        <v>6.2</v>
      </c>
      <c r="D151" s="35">
        <v>3.4</v>
      </c>
      <c r="E151" s="35">
        <v>5.4</v>
      </c>
      <c r="F151" s="35">
        <v>2.2999999999999998</v>
      </c>
      <c r="G151" s="33" t="s">
        <v>13</v>
      </c>
    </row>
    <row r="152" spans="2:7" ht="15.75" thickBot="1" x14ac:dyDescent="0.3">
      <c r="B152" s="36">
        <v>150</v>
      </c>
      <c r="C152" s="36">
        <v>5.9</v>
      </c>
      <c r="D152" s="36">
        <v>3</v>
      </c>
      <c r="E152" s="36">
        <v>5.0999999999999996</v>
      </c>
      <c r="F152" s="36">
        <v>1.8</v>
      </c>
      <c r="G152" s="34" t="s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92A3-A388-4179-9B02-3E1EC5916D21}">
  <dimension ref="B2:P153"/>
  <sheetViews>
    <sheetView workbookViewId="0">
      <selection activeCell="F128" sqref="F128"/>
    </sheetView>
  </sheetViews>
  <sheetFormatPr defaultRowHeight="15" x14ac:dyDescent="0.25"/>
  <cols>
    <col min="1" max="1" width="9.140625" style="20"/>
    <col min="2" max="7" width="12.140625" style="20" customWidth="1"/>
    <col min="8" max="8" width="9.140625" style="20"/>
    <col min="9" max="9" width="18.140625" style="20" customWidth="1"/>
    <col min="10" max="13" width="12.7109375" style="20" customWidth="1"/>
    <col min="14" max="16384" width="9.140625" style="20"/>
  </cols>
  <sheetData>
    <row r="2" spans="2:7" ht="15.75" thickBot="1" x14ac:dyDescent="0.3"/>
    <row r="3" spans="2:7" ht="15.75" thickBot="1" x14ac:dyDescent="0.3"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7" x14ac:dyDescent="0.25">
      <c r="B4" s="2">
        <v>1</v>
      </c>
      <c r="C4" s="2">
        <v>5.0999999999999996</v>
      </c>
      <c r="D4" s="2">
        <v>3.5</v>
      </c>
      <c r="E4" s="2">
        <v>1.4</v>
      </c>
      <c r="F4" s="2">
        <v>0.2</v>
      </c>
      <c r="G4" s="2" t="s">
        <v>6</v>
      </c>
    </row>
    <row r="5" spans="2:7" x14ac:dyDescent="0.25">
      <c r="B5" s="3">
        <v>2</v>
      </c>
      <c r="C5" s="3">
        <v>4.9000000000000004</v>
      </c>
      <c r="D5" s="3">
        <v>3</v>
      </c>
      <c r="E5" s="3">
        <v>1.4</v>
      </c>
      <c r="F5" s="3">
        <v>0.2</v>
      </c>
      <c r="G5" s="3" t="s">
        <v>6</v>
      </c>
    </row>
    <row r="6" spans="2:7" x14ac:dyDescent="0.25">
      <c r="B6" s="3">
        <v>3</v>
      </c>
      <c r="C6" s="3">
        <v>4.7</v>
      </c>
      <c r="D6" s="3">
        <v>3.2</v>
      </c>
      <c r="E6" s="3">
        <v>1.3</v>
      </c>
      <c r="F6" s="3">
        <v>0.2</v>
      </c>
      <c r="G6" s="3" t="s">
        <v>6</v>
      </c>
    </row>
    <row r="7" spans="2:7" x14ac:dyDescent="0.25">
      <c r="B7" s="3">
        <v>4</v>
      </c>
      <c r="C7" s="3">
        <v>4.5999999999999996</v>
      </c>
      <c r="D7" s="3">
        <v>3.1</v>
      </c>
      <c r="E7" s="3">
        <v>1.5</v>
      </c>
      <c r="F7" s="3">
        <v>0.2</v>
      </c>
      <c r="G7" s="3" t="s">
        <v>6</v>
      </c>
    </row>
    <row r="8" spans="2:7" x14ac:dyDescent="0.25">
      <c r="B8" s="3">
        <v>5</v>
      </c>
      <c r="C8" s="3">
        <v>5</v>
      </c>
      <c r="D8" s="3">
        <v>3.6</v>
      </c>
      <c r="E8" s="3">
        <v>1.4</v>
      </c>
      <c r="F8" s="3">
        <v>0.2</v>
      </c>
      <c r="G8" s="3" t="s">
        <v>6</v>
      </c>
    </row>
    <row r="9" spans="2:7" x14ac:dyDescent="0.25">
      <c r="B9" s="3">
        <v>6</v>
      </c>
      <c r="C9" s="3">
        <v>5.4</v>
      </c>
      <c r="D9" s="3">
        <v>3.9</v>
      </c>
      <c r="E9" s="3">
        <v>1.7</v>
      </c>
      <c r="F9" s="3">
        <v>0.4</v>
      </c>
      <c r="G9" s="3" t="s">
        <v>6</v>
      </c>
    </row>
    <row r="10" spans="2:7" x14ac:dyDescent="0.25">
      <c r="B10" s="3">
        <v>7</v>
      </c>
      <c r="C10" s="3">
        <v>4.5999999999999996</v>
      </c>
      <c r="D10" s="3">
        <v>3.4</v>
      </c>
      <c r="E10" s="3">
        <v>1.4</v>
      </c>
      <c r="F10" s="3">
        <v>0.3</v>
      </c>
      <c r="G10" s="3" t="s">
        <v>6</v>
      </c>
    </row>
    <row r="11" spans="2:7" x14ac:dyDescent="0.25">
      <c r="B11" s="3">
        <v>8</v>
      </c>
      <c r="C11" s="3">
        <v>5</v>
      </c>
      <c r="D11" s="3">
        <v>3.4</v>
      </c>
      <c r="E11" s="3">
        <v>1.5</v>
      </c>
      <c r="F11" s="3">
        <v>0.2</v>
      </c>
      <c r="G11" s="3" t="s">
        <v>6</v>
      </c>
    </row>
    <row r="12" spans="2:7" x14ac:dyDescent="0.25">
      <c r="B12" s="3">
        <v>9</v>
      </c>
      <c r="C12" s="3">
        <v>4.4000000000000004</v>
      </c>
      <c r="D12" s="3">
        <v>2.9</v>
      </c>
      <c r="E12" s="3">
        <v>1.4</v>
      </c>
      <c r="F12" s="3">
        <v>0.2</v>
      </c>
      <c r="G12" s="3" t="s">
        <v>6</v>
      </c>
    </row>
    <row r="13" spans="2:7" x14ac:dyDescent="0.25">
      <c r="B13" s="3">
        <v>10</v>
      </c>
      <c r="C13" s="3">
        <v>4.9000000000000004</v>
      </c>
      <c r="D13" s="3">
        <v>3.1</v>
      </c>
      <c r="E13" s="3">
        <v>1.5</v>
      </c>
      <c r="F13" s="3">
        <v>0.1</v>
      </c>
      <c r="G13" s="3" t="s">
        <v>6</v>
      </c>
    </row>
    <row r="14" spans="2:7" x14ac:dyDescent="0.25">
      <c r="B14" s="3">
        <v>11</v>
      </c>
      <c r="C14" s="3">
        <v>5.4</v>
      </c>
      <c r="D14" s="3">
        <v>3.7</v>
      </c>
      <c r="E14" s="3">
        <v>1.5</v>
      </c>
      <c r="F14" s="3">
        <v>0.2</v>
      </c>
      <c r="G14" s="3" t="s">
        <v>6</v>
      </c>
    </row>
    <row r="15" spans="2:7" x14ac:dyDescent="0.25">
      <c r="B15" s="3">
        <v>12</v>
      </c>
      <c r="C15" s="3">
        <v>4.8</v>
      </c>
      <c r="D15" s="3">
        <v>3.4</v>
      </c>
      <c r="E15" s="3">
        <v>1.6</v>
      </c>
      <c r="F15" s="3">
        <v>0.2</v>
      </c>
      <c r="G15" s="3" t="s">
        <v>6</v>
      </c>
    </row>
    <row r="16" spans="2:7" x14ac:dyDescent="0.25">
      <c r="B16" s="3">
        <v>13</v>
      </c>
      <c r="C16" s="3">
        <v>4.8</v>
      </c>
      <c r="D16" s="3">
        <v>3</v>
      </c>
      <c r="E16" s="3">
        <v>1.4</v>
      </c>
      <c r="F16" s="3">
        <v>0.1</v>
      </c>
      <c r="G16" s="3" t="s">
        <v>6</v>
      </c>
    </row>
    <row r="17" spans="2:7" x14ac:dyDescent="0.25">
      <c r="B17" s="3">
        <v>14</v>
      </c>
      <c r="C17" s="3">
        <v>4.3</v>
      </c>
      <c r="D17" s="3">
        <v>3</v>
      </c>
      <c r="E17" s="3">
        <v>1.1000000000000001</v>
      </c>
      <c r="F17" s="3">
        <v>0.1</v>
      </c>
      <c r="G17" s="3" t="s">
        <v>6</v>
      </c>
    </row>
    <row r="18" spans="2:7" x14ac:dyDescent="0.25">
      <c r="B18" s="3">
        <v>15</v>
      </c>
      <c r="C18" s="3">
        <v>5.8</v>
      </c>
      <c r="D18" s="3">
        <v>4</v>
      </c>
      <c r="E18" s="3">
        <v>1.2</v>
      </c>
      <c r="F18" s="3">
        <v>0.2</v>
      </c>
      <c r="G18" s="3" t="s">
        <v>6</v>
      </c>
    </row>
    <row r="19" spans="2:7" x14ac:dyDescent="0.25">
      <c r="B19" s="3">
        <v>16</v>
      </c>
      <c r="C19" s="3">
        <v>5.7</v>
      </c>
      <c r="D19" s="3">
        <v>4.4000000000000004</v>
      </c>
      <c r="E19" s="3">
        <v>1.5</v>
      </c>
      <c r="F19" s="3">
        <v>0.4</v>
      </c>
      <c r="G19" s="3" t="s">
        <v>6</v>
      </c>
    </row>
    <row r="20" spans="2:7" x14ac:dyDescent="0.25">
      <c r="B20" s="3">
        <v>17</v>
      </c>
      <c r="C20" s="3">
        <v>5.4</v>
      </c>
      <c r="D20" s="3">
        <v>3.9</v>
      </c>
      <c r="E20" s="3">
        <v>1.3</v>
      </c>
      <c r="F20" s="3">
        <v>0.4</v>
      </c>
      <c r="G20" s="3" t="s">
        <v>6</v>
      </c>
    </row>
    <row r="21" spans="2:7" x14ac:dyDescent="0.25">
      <c r="B21" s="3">
        <v>18</v>
      </c>
      <c r="C21" s="3">
        <v>5.0999999999999996</v>
      </c>
      <c r="D21" s="3">
        <v>3.5</v>
      </c>
      <c r="E21" s="3">
        <v>1.4</v>
      </c>
      <c r="F21" s="3">
        <v>0.3</v>
      </c>
      <c r="G21" s="3" t="s">
        <v>6</v>
      </c>
    </row>
    <row r="22" spans="2:7" x14ac:dyDescent="0.25">
      <c r="B22" s="3">
        <v>19</v>
      </c>
      <c r="C22" s="3">
        <v>5.7</v>
      </c>
      <c r="D22" s="3">
        <v>3.8</v>
      </c>
      <c r="E22" s="3">
        <v>1.7</v>
      </c>
      <c r="F22" s="3">
        <v>0.3</v>
      </c>
      <c r="G22" s="3" t="s">
        <v>6</v>
      </c>
    </row>
    <row r="23" spans="2:7" x14ac:dyDescent="0.25">
      <c r="B23" s="3">
        <v>20</v>
      </c>
      <c r="C23" s="3">
        <v>5.0999999999999996</v>
      </c>
      <c r="D23" s="3">
        <v>3.8</v>
      </c>
      <c r="E23" s="3">
        <v>1.5</v>
      </c>
      <c r="F23" s="3">
        <v>0.3</v>
      </c>
      <c r="G23" s="3" t="s">
        <v>6</v>
      </c>
    </row>
    <row r="24" spans="2:7" x14ac:dyDescent="0.25">
      <c r="B24" s="3">
        <v>21</v>
      </c>
      <c r="C24" s="3">
        <v>5.4</v>
      </c>
      <c r="D24" s="3">
        <v>3.4</v>
      </c>
      <c r="E24" s="3">
        <v>1.7</v>
      </c>
      <c r="F24" s="3">
        <v>0.2</v>
      </c>
      <c r="G24" s="3" t="s">
        <v>6</v>
      </c>
    </row>
    <row r="25" spans="2:7" x14ac:dyDescent="0.25">
      <c r="B25" s="3">
        <v>22</v>
      </c>
      <c r="C25" s="3">
        <v>5.0999999999999996</v>
      </c>
      <c r="D25" s="3">
        <v>3.7</v>
      </c>
      <c r="E25" s="3">
        <v>1.5</v>
      </c>
      <c r="F25" s="3">
        <v>0.4</v>
      </c>
      <c r="G25" s="3" t="s">
        <v>6</v>
      </c>
    </row>
    <row r="26" spans="2:7" x14ac:dyDescent="0.25">
      <c r="B26" s="3">
        <v>23</v>
      </c>
      <c r="C26" s="3">
        <v>4.5999999999999996</v>
      </c>
      <c r="D26" s="3">
        <v>3.6</v>
      </c>
      <c r="E26" s="3">
        <v>1</v>
      </c>
      <c r="F26" s="3">
        <v>0.2</v>
      </c>
      <c r="G26" s="3" t="s">
        <v>6</v>
      </c>
    </row>
    <row r="27" spans="2:7" x14ac:dyDescent="0.25">
      <c r="B27" s="3">
        <v>24</v>
      </c>
      <c r="C27" s="3">
        <v>5.0999999999999996</v>
      </c>
      <c r="D27" s="3">
        <v>3.3</v>
      </c>
      <c r="E27" s="3">
        <v>1.7</v>
      </c>
      <c r="F27" s="3">
        <v>0.5</v>
      </c>
      <c r="G27" s="3" t="s">
        <v>6</v>
      </c>
    </row>
    <row r="28" spans="2:7" x14ac:dyDescent="0.25">
      <c r="B28" s="3">
        <v>25</v>
      </c>
      <c r="C28" s="3">
        <v>4.8</v>
      </c>
      <c r="D28" s="3">
        <v>3.4</v>
      </c>
      <c r="E28" s="3">
        <v>1.9</v>
      </c>
      <c r="F28" s="3">
        <v>0.2</v>
      </c>
      <c r="G28" s="3" t="s">
        <v>6</v>
      </c>
    </row>
    <row r="29" spans="2:7" x14ac:dyDescent="0.25">
      <c r="B29" s="3">
        <v>26</v>
      </c>
      <c r="C29" s="3">
        <v>5</v>
      </c>
      <c r="D29" s="3">
        <v>3</v>
      </c>
      <c r="E29" s="3">
        <v>1.6</v>
      </c>
      <c r="F29" s="3">
        <v>0.2</v>
      </c>
      <c r="G29" s="3" t="s">
        <v>6</v>
      </c>
    </row>
    <row r="30" spans="2:7" x14ac:dyDescent="0.25">
      <c r="B30" s="3">
        <v>27</v>
      </c>
      <c r="C30" s="3">
        <v>5</v>
      </c>
      <c r="D30" s="3">
        <v>3.4</v>
      </c>
      <c r="E30" s="3">
        <v>1.6</v>
      </c>
      <c r="F30" s="3">
        <v>0.4</v>
      </c>
      <c r="G30" s="3" t="s">
        <v>6</v>
      </c>
    </row>
    <row r="31" spans="2:7" x14ac:dyDescent="0.25">
      <c r="B31" s="3">
        <v>28</v>
      </c>
      <c r="C31" s="3">
        <v>5.2</v>
      </c>
      <c r="D31" s="3">
        <v>3.5</v>
      </c>
      <c r="E31" s="3">
        <v>1.5</v>
      </c>
      <c r="F31" s="3">
        <v>0.2</v>
      </c>
      <c r="G31" s="3" t="s">
        <v>6</v>
      </c>
    </row>
    <row r="32" spans="2:7" x14ac:dyDescent="0.25">
      <c r="B32" s="3">
        <v>29</v>
      </c>
      <c r="C32" s="3">
        <v>5.2</v>
      </c>
      <c r="D32" s="3">
        <v>3.4</v>
      </c>
      <c r="E32" s="3">
        <v>1.4</v>
      </c>
      <c r="F32" s="3">
        <v>0.2</v>
      </c>
      <c r="G32" s="3" t="s">
        <v>6</v>
      </c>
    </row>
    <row r="33" spans="2:7" x14ac:dyDescent="0.25">
      <c r="B33" s="3">
        <v>30</v>
      </c>
      <c r="C33" s="3">
        <v>4.7</v>
      </c>
      <c r="D33" s="3">
        <v>3.2</v>
      </c>
      <c r="E33" s="3">
        <v>1.6</v>
      </c>
      <c r="F33" s="3">
        <v>0.2</v>
      </c>
      <c r="G33" s="3" t="s">
        <v>6</v>
      </c>
    </row>
    <row r="34" spans="2:7" x14ac:dyDescent="0.25">
      <c r="B34" s="3">
        <v>31</v>
      </c>
      <c r="C34" s="3">
        <v>4.8</v>
      </c>
      <c r="D34" s="3">
        <v>3.1</v>
      </c>
      <c r="E34" s="3">
        <v>1.6</v>
      </c>
      <c r="F34" s="3">
        <v>0.2</v>
      </c>
      <c r="G34" s="3" t="s">
        <v>6</v>
      </c>
    </row>
    <row r="35" spans="2:7" x14ac:dyDescent="0.25">
      <c r="B35" s="3">
        <v>32</v>
      </c>
      <c r="C35" s="3">
        <v>5.4</v>
      </c>
      <c r="D35" s="3">
        <v>3.4</v>
      </c>
      <c r="E35" s="3">
        <v>1.5</v>
      </c>
      <c r="F35" s="3">
        <v>0.4</v>
      </c>
      <c r="G35" s="3" t="s">
        <v>6</v>
      </c>
    </row>
    <row r="36" spans="2:7" x14ac:dyDescent="0.25">
      <c r="B36" s="3">
        <v>33</v>
      </c>
      <c r="C36" s="3">
        <v>5.2</v>
      </c>
      <c r="D36" s="3">
        <v>4.0999999999999996</v>
      </c>
      <c r="E36" s="3">
        <v>1.5</v>
      </c>
      <c r="F36" s="3">
        <v>0.1</v>
      </c>
      <c r="G36" s="3" t="s">
        <v>6</v>
      </c>
    </row>
    <row r="37" spans="2:7" x14ac:dyDescent="0.25">
      <c r="B37" s="3">
        <v>34</v>
      </c>
      <c r="C37" s="3">
        <v>5.5</v>
      </c>
      <c r="D37" s="3">
        <v>4.2</v>
      </c>
      <c r="E37" s="3">
        <v>1.4</v>
      </c>
      <c r="F37" s="3">
        <v>0.2</v>
      </c>
      <c r="G37" s="3" t="s">
        <v>6</v>
      </c>
    </row>
    <row r="38" spans="2:7" x14ac:dyDescent="0.25">
      <c r="B38" s="3">
        <v>35</v>
      </c>
      <c r="C38" s="3">
        <v>4.9000000000000004</v>
      </c>
      <c r="D38" s="3">
        <v>3.1</v>
      </c>
      <c r="E38" s="3">
        <v>1.5</v>
      </c>
      <c r="F38" s="3">
        <v>0.2</v>
      </c>
      <c r="G38" s="3" t="s">
        <v>6</v>
      </c>
    </row>
    <row r="39" spans="2:7" x14ac:dyDescent="0.25">
      <c r="B39" s="3">
        <v>36</v>
      </c>
      <c r="C39" s="3">
        <v>5</v>
      </c>
      <c r="D39" s="3">
        <v>3.2</v>
      </c>
      <c r="E39" s="3">
        <v>1.2</v>
      </c>
      <c r="F39" s="3">
        <v>0.2</v>
      </c>
      <c r="G39" s="3" t="s">
        <v>6</v>
      </c>
    </row>
    <row r="40" spans="2:7" x14ac:dyDescent="0.25">
      <c r="B40" s="3">
        <v>37</v>
      </c>
      <c r="C40" s="3">
        <v>5.5</v>
      </c>
      <c r="D40" s="3">
        <v>3.5</v>
      </c>
      <c r="E40" s="3">
        <v>1.3</v>
      </c>
      <c r="F40" s="3">
        <v>0.2</v>
      </c>
      <c r="G40" s="3" t="s">
        <v>6</v>
      </c>
    </row>
    <row r="41" spans="2:7" x14ac:dyDescent="0.25">
      <c r="B41" s="3">
        <v>38</v>
      </c>
      <c r="C41" s="3">
        <v>4.9000000000000004</v>
      </c>
      <c r="D41" s="3">
        <v>3.6</v>
      </c>
      <c r="E41" s="3">
        <v>1.4</v>
      </c>
      <c r="F41" s="3">
        <v>0.1</v>
      </c>
      <c r="G41" s="3" t="s">
        <v>6</v>
      </c>
    </row>
    <row r="42" spans="2:7" x14ac:dyDescent="0.25">
      <c r="B42" s="3">
        <v>39</v>
      </c>
      <c r="C42" s="3">
        <v>4.4000000000000004</v>
      </c>
      <c r="D42" s="3">
        <v>3</v>
      </c>
      <c r="E42" s="3">
        <v>1.3</v>
      </c>
      <c r="F42" s="3">
        <v>0.2</v>
      </c>
      <c r="G42" s="3" t="s">
        <v>6</v>
      </c>
    </row>
    <row r="43" spans="2:7" x14ac:dyDescent="0.25">
      <c r="B43" s="3">
        <v>40</v>
      </c>
      <c r="C43" s="3">
        <v>5.0999999999999996</v>
      </c>
      <c r="D43" s="3">
        <v>3.4</v>
      </c>
      <c r="E43" s="3">
        <v>1.5</v>
      </c>
      <c r="F43" s="3">
        <v>0.2</v>
      </c>
      <c r="G43" s="3" t="s">
        <v>6</v>
      </c>
    </row>
    <row r="44" spans="2:7" x14ac:dyDescent="0.25">
      <c r="B44" s="3">
        <v>41</v>
      </c>
      <c r="C44" s="3">
        <v>5</v>
      </c>
      <c r="D44" s="3">
        <v>3.5</v>
      </c>
      <c r="E44" s="3">
        <v>1.3</v>
      </c>
      <c r="F44" s="3">
        <v>0.3</v>
      </c>
      <c r="G44" s="3" t="s">
        <v>6</v>
      </c>
    </row>
    <row r="45" spans="2:7" x14ac:dyDescent="0.25">
      <c r="B45" s="3">
        <v>42</v>
      </c>
      <c r="C45" s="3">
        <v>4.5</v>
      </c>
      <c r="D45" s="3">
        <v>2.2999999999999998</v>
      </c>
      <c r="E45" s="3">
        <v>1.3</v>
      </c>
      <c r="F45" s="3">
        <v>0.3</v>
      </c>
      <c r="G45" s="3" t="s">
        <v>6</v>
      </c>
    </row>
    <row r="46" spans="2:7" x14ac:dyDescent="0.25">
      <c r="B46" s="3">
        <v>43</v>
      </c>
      <c r="C46" s="3">
        <v>4.4000000000000004</v>
      </c>
      <c r="D46" s="3">
        <v>3.2</v>
      </c>
      <c r="E46" s="3">
        <v>1.3</v>
      </c>
      <c r="F46" s="3">
        <v>0.2</v>
      </c>
      <c r="G46" s="3" t="s">
        <v>6</v>
      </c>
    </row>
    <row r="47" spans="2:7" x14ac:dyDescent="0.25">
      <c r="B47" s="3">
        <v>44</v>
      </c>
      <c r="C47" s="3">
        <v>5</v>
      </c>
      <c r="D47" s="3">
        <v>3.5</v>
      </c>
      <c r="E47" s="3">
        <v>1.6</v>
      </c>
      <c r="F47" s="3">
        <v>0.6</v>
      </c>
      <c r="G47" s="3" t="s">
        <v>6</v>
      </c>
    </row>
    <row r="48" spans="2:7" x14ac:dyDescent="0.25">
      <c r="B48" s="3">
        <v>45</v>
      </c>
      <c r="C48" s="3">
        <v>5.0999999999999996</v>
      </c>
      <c r="D48" s="3">
        <v>3.8</v>
      </c>
      <c r="E48" s="3">
        <v>1.9</v>
      </c>
      <c r="F48" s="3">
        <v>0.4</v>
      </c>
      <c r="G48" s="3" t="s">
        <v>6</v>
      </c>
    </row>
    <row r="49" spans="2:7" x14ac:dyDescent="0.25">
      <c r="B49" s="3">
        <v>46</v>
      </c>
      <c r="C49" s="3">
        <v>4.8</v>
      </c>
      <c r="D49" s="3">
        <v>3</v>
      </c>
      <c r="E49" s="3">
        <v>1.4</v>
      </c>
      <c r="F49" s="3">
        <v>0.3</v>
      </c>
      <c r="G49" s="3" t="s">
        <v>6</v>
      </c>
    </row>
    <row r="50" spans="2:7" x14ac:dyDescent="0.25">
      <c r="B50" s="3">
        <v>47</v>
      </c>
      <c r="C50" s="3">
        <v>5.0999999999999996</v>
      </c>
      <c r="D50" s="3">
        <v>3.8</v>
      </c>
      <c r="E50" s="3">
        <v>1.6</v>
      </c>
      <c r="F50" s="3">
        <v>0.2</v>
      </c>
      <c r="G50" s="3" t="s">
        <v>6</v>
      </c>
    </row>
    <row r="51" spans="2:7" x14ac:dyDescent="0.25">
      <c r="B51" s="3">
        <v>48</v>
      </c>
      <c r="C51" s="3">
        <v>4.5999999999999996</v>
      </c>
      <c r="D51" s="3">
        <v>3.2</v>
      </c>
      <c r="E51" s="3">
        <v>1.4</v>
      </c>
      <c r="F51" s="3">
        <v>0.2</v>
      </c>
      <c r="G51" s="3" t="s">
        <v>6</v>
      </c>
    </row>
    <row r="52" spans="2:7" x14ac:dyDescent="0.25">
      <c r="B52" s="3">
        <v>49</v>
      </c>
      <c r="C52" s="3">
        <v>5.3</v>
      </c>
      <c r="D52" s="3">
        <v>3.7</v>
      </c>
      <c r="E52" s="3">
        <v>1.5</v>
      </c>
      <c r="F52" s="3">
        <v>0.2</v>
      </c>
      <c r="G52" s="3" t="s">
        <v>6</v>
      </c>
    </row>
    <row r="53" spans="2:7" x14ac:dyDescent="0.25">
      <c r="B53" s="3">
        <v>50</v>
      </c>
      <c r="C53" s="3">
        <v>5</v>
      </c>
      <c r="D53" s="3">
        <v>3.3</v>
      </c>
      <c r="E53" s="3">
        <v>1.4</v>
      </c>
      <c r="F53" s="3">
        <v>0.2</v>
      </c>
      <c r="G53" s="3" t="s">
        <v>6</v>
      </c>
    </row>
    <row r="54" spans="2:7" x14ac:dyDescent="0.25">
      <c r="B54" s="3">
        <v>51</v>
      </c>
      <c r="C54" s="3">
        <v>7</v>
      </c>
      <c r="D54" s="3">
        <v>3.2</v>
      </c>
      <c r="E54" s="3">
        <v>4.7</v>
      </c>
      <c r="F54" s="3">
        <v>1.4</v>
      </c>
      <c r="G54" s="3" t="s">
        <v>12</v>
      </c>
    </row>
    <row r="55" spans="2:7" x14ac:dyDescent="0.25">
      <c r="B55" s="3">
        <v>52</v>
      </c>
      <c r="C55" s="3">
        <v>6.4</v>
      </c>
      <c r="D55" s="3">
        <v>3.2</v>
      </c>
      <c r="E55" s="3">
        <v>4.5</v>
      </c>
      <c r="F55" s="3">
        <v>1.5</v>
      </c>
      <c r="G55" s="3" t="s">
        <v>12</v>
      </c>
    </row>
    <row r="56" spans="2:7" x14ac:dyDescent="0.25">
      <c r="B56" s="3">
        <v>53</v>
      </c>
      <c r="C56" s="3">
        <v>6.9</v>
      </c>
      <c r="D56" s="3">
        <v>3.1</v>
      </c>
      <c r="E56" s="3">
        <v>4.9000000000000004</v>
      </c>
      <c r="F56" s="3">
        <v>1.5</v>
      </c>
      <c r="G56" s="3" t="s">
        <v>12</v>
      </c>
    </row>
    <row r="57" spans="2:7" x14ac:dyDescent="0.25">
      <c r="B57" s="3">
        <v>54</v>
      </c>
      <c r="C57" s="3">
        <v>5.5</v>
      </c>
      <c r="D57" s="3">
        <v>2.2999999999999998</v>
      </c>
      <c r="E57" s="3">
        <v>4</v>
      </c>
      <c r="F57" s="3">
        <v>1.3</v>
      </c>
      <c r="G57" s="3" t="s">
        <v>12</v>
      </c>
    </row>
    <row r="58" spans="2:7" x14ac:dyDescent="0.25">
      <c r="B58" s="3">
        <v>55</v>
      </c>
      <c r="C58" s="3">
        <v>6.5</v>
      </c>
      <c r="D58" s="3">
        <v>2.8</v>
      </c>
      <c r="E58" s="3">
        <v>4.5999999999999996</v>
      </c>
      <c r="F58" s="3">
        <v>1.5</v>
      </c>
      <c r="G58" s="3" t="s">
        <v>12</v>
      </c>
    </row>
    <row r="59" spans="2:7" x14ac:dyDescent="0.25">
      <c r="B59" s="3">
        <v>56</v>
      </c>
      <c r="C59" s="3">
        <v>5.7</v>
      </c>
      <c r="D59" s="3">
        <v>2.8</v>
      </c>
      <c r="E59" s="3">
        <v>4.5</v>
      </c>
      <c r="F59" s="3">
        <v>1.3</v>
      </c>
      <c r="G59" s="3" t="s">
        <v>12</v>
      </c>
    </row>
    <row r="60" spans="2:7" x14ac:dyDescent="0.25">
      <c r="B60" s="3">
        <v>57</v>
      </c>
      <c r="C60" s="3">
        <v>6.3</v>
      </c>
      <c r="D60" s="3">
        <v>3.3</v>
      </c>
      <c r="E60" s="3">
        <v>4.7</v>
      </c>
      <c r="F60" s="3">
        <v>1.6</v>
      </c>
      <c r="G60" s="3" t="s">
        <v>12</v>
      </c>
    </row>
    <row r="61" spans="2:7" x14ac:dyDescent="0.25">
      <c r="B61" s="3">
        <v>58</v>
      </c>
      <c r="C61" s="3">
        <v>4.9000000000000004</v>
      </c>
      <c r="D61" s="3">
        <v>2.4</v>
      </c>
      <c r="E61" s="3">
        <v>3.3</v>
      </c>
      <c r="F61" s="3">
        <v>1</v>
      </c>
      <c r="G61" s="3" t="s">
        <v>12</v>
      </c>
    </row>
    <row r="62" spans="2:7" x14ac:dyDescent="0.25">
      <c r="B62" s="3">
        <v>59</v>
      </c>
      <c r="C62" s="3">
        <v>6.6</v>
      </c>
      <c r="D62" s="3">
        <v>2.9</v>
      </c>
      <c r="E62" s="3">
        <v>4.5999999999999996</v>
      </c>
      <c r="F62" s="3">
        <v>1.3</v>
      </c>
      <c r="G62" s="3" t="s">
        <v>12</v>
      </c>
    </row>
    <row r="63" spans="2:7" x14ac:dyDescent="0.25">
      <c r="B63" s="3">
        <v>60</v>
      </c>
      <c r="C63" s="3">
        <v>5.2</v>
      </c>
      <c r="D63" s="3">
        <v>2.7</v>
      </c>
      <c r="E63" s="3">
        <v>3.9</v>
      </c>
      <c r="F63" s="3">
        <v>1.4</v>
      </c>
      <c r="G63" s="3" t="s">
        <v>12</v>
      </c>
    </row>
    <row r="64" spans="2:7" x14ac:dyDescent="0.25">
      <c r="B64" s="3">
        <v>61</v>
      </c>
      <c r="C64" s="3">
        <v>5</v>
      </c>
      <c r="D64" s="3">
        <v>2</v>
      </c>
      <c r="E64" s="3">
        <v>3.5</v>
      </c>
      <c r="F64" s="3">
        <v>1</v>
      </c>
      <c r="G64" s="3" t="s">
        <v>12</v>
      </c>
    </row>
    <row r="65" spans="2:13" x14ac:dyDescent="0.25">
      <c r="B65" s="3">
        <v>62</v>
      </c>
      <c r="C65" s="3">
        <v>5.9</v>
      </c>
      <c r="D65" s="3">
        <v>3</v>
      </c>
      <c r="E65" s="3">
        <v>4.2</v>
      </c>
      <c r="F65" s="3">
        <v>1.5</v>
      </c>
      <c r="G65" s="3" t="s">
        <v>12</v>
      </c>
    </row>
    <row r="66" spans="2:13" x14ac:dyDescent="0.25">
      <c r="B66" s="3">
        <v>63</v>
      </c>
      <c r="C66" s="3">
        <v>6</v>
      </c>
      <c r="D66" s="3">
        <v>2.2000000000000002</v>
      </c>
      <c r="E66" s="3">
        <v>4</v>
      </c>
      <c r="F66" s="3">
        <v>1</v>
      </c>
      <c r="G66" s="3" t="s">
        <v>12</v>
      </c>
    </row>
    <row r="67" spans="2:13" x14ac:dyDescent="0.25">
      <c r="B67" s="3">
        <v>64</v>
      </c>
      <c r="C67" s="3">
        <v>6.1</v>
      </c>
      <c r="D67" s="3">
        <v>2.9</v>
      </c>
      <c r="E67" s="3">
        <v>4.7</v>
      </c>
      <c r="F67" s="3">
        <v>1.4</v>
      </c>
      <c r="G67" s="3" t="s">
        <v>12</v>
      </c>
    </row>
    <row r="68" spans="2:13" x14ac:dyDescent="0.25">
      <c r="B68" s="3">
        <v>65</v>
      </c>
      <c r="C68" s="3">
        <v>5.6</v>
      </c>
      <c r="D68" s="3">
        <v>2.9</v>
      </c>
      <c r="E68" s="3">
        <v>3.6</v>
      </c>
      <c r="F68" s="3">
        <v>1.3</v>
      </c>
      <c r="G68" s="3" t="s">
        <v>12</v>
      </c>
    </row>
    <row r="69" spans="2:13" x14ac:dyDescent="0.25">
      <c r="B69" s="3">
        <v>66</v>
      </c>
      <c r="C69" s="3">
        <v>6.7</v>
      </c>
      <c r="D69" s="3">
        <v>3.1</v>
      </c>
      <c r="E69" s="3">
        <v>4.4000000000000004</v>
      </c>
      <c r="F69" s="3">
        <v>1.4</v>
      </c>
      <c r="G69" s="3" t="s">
        <v>12</v>
      </c>
      <c r="K69" s="15"/>
      <c r="L69" s="15"/>
      <c r="M69" s="15"/>
    </row>
    <row r="70" spans="2:13" x14ac:dyDescent="0.25">
      <c r="B70" s="3">
        <v>67</v>
      </c>
      <c r="C70" s="3">
        <v>5.6</v>
      </c>
      <c r="D70" s="3">
        <v>3</v>
      </c>
      <c r="E70" s="3">
        <v>4.5</v>
      </c>
      <c r="F70" s="3">
        <v>1.5</v>
      </c>
      <c r="G70" s="3" t="s">
        <v>12</v>
      </c>
      <c r="K70" s="15"/>
      <c r="L70" s="15"/>
      <c r="M70" s="15"/>
    </row>
    <row r="71" spans="2:13" x14ac:dyDescent="0.25">
      <c r="B71" s="3">
        <v>68</v>
      </c>
      <c r="C71" s="3">
        <v>5.8</v>
      </c>
      <c r="D71" s="3">
        <v>2.7</v>
      </c>
      <c r="E71" s="3">
        <v>4.0999999999999996</v>
      </c>
      <c r="F71" s="3">
        <v>1</v>
      </c>
      <c r="G71" s="3" t="s">
        <v>12</v>
      </c>
    </row>
    <row r="72" spans="2:13" x14ac:dyDescent="0.25">
      <c r="B72" s="3">
        <v>69</v>
      </c>
      <c r="C72" s="3">
        <v>6.2</v>
      </c>
      <c r="D72" s="3">
        <v>2.2000000000000002</v>
      </c>
      <c r="E72" s="3">
        <v>4.5</v>
      </c>
      <c r="F72" s="3">
        <v>1.5</v>
      </c>
      <c r="G72" s="3" t="s">
        <v>12</v>
      </c>
    </row>
    <row r="73" spans="2:13" x14ac:dyDescent="0.25">
      <c r="B73" s="3">
        <v>70</v>
      </c>
      <c r="C73" s="3">
        <v>5.6</v>
      </c>
      <c r="D73" s="3">
        <v>2.5</v>
      </c>
      <c r="E73" s="3">
        <v>3.9</v>
      </c>
      <c r="F73" s="3">
        <v>1.1000000000000001</v>
      </c>
      <c r="G73" s="3" t="s">
        <v>12</v>
      </c>
    </row>
    <row r="74" spans="2:13" x14ac:dyDescent="0.25">
      <c r="B74" s="3">
        <v>71</v>
      </c>
      <c r="C74" s="3">
        <v>5.9</v>
      </c>
      <c r="D74" s="3">
        <v>3.2</v>
      </c>
      <c r="E74" s="3">
        <v>4.8</v>
      </c>
      <c r="F74" s="3">
        <v>1.8</v>
      </c>
      <c r="G74" s="3" t="s">
        <v>12</v>
      </c>
    </row>
    <row r="75" spans="2:13" x14ac:dyDescent="0.25">
      <c r="B75" s="3">
        <v>72</v>
      </c>
      <c r="C75" s="3">
        <v>6.1</v>
      </c>
      <c r="D75" s="3">
        <v>2.8</v>
      </c>
      <c r="E75" s="3">
        <v>4</v>
      </c>
      <c r="F75" s="3">
        <v>1.3</v>
      </c>
      <c r="G75" s="3" t="s">
        <v>12</v>
      </c>
    </row>
    <row r="76" spans="2:13" x14ac:dyDescent="0.25">
      <c r="B76" s="3">
        <v>73</v>
      </c>
      <c r="C76" s="3">
        <v>6.3</v>
      </c>
      <c r="D76" s="3">
        <v>2.5</v>
      </c>
      <c r="E76" s="3">
        <v>4.9000000000000004</v>
      </c>
      <c r="F76" s="3">
        <v>1.5</v>
      </c>
      <c r="G76" s="3" t="s">
        <v>12</v>
      </c>
    </row>
    <row r="77" spans="2:13" x14ac:dyDescent="0.25">
      <c r="B77" s="3">
        <v>74</v>
      </c>
      <c r="C77" s="3">
        <v>6.1</v>
      </c>
      <c r="D77" s="3">
        <v>2.8</v>
      </c>
      <c r="E77" s="3">
        <v>4.7</v>
      </c>
      <c r="F77" s="3">
        <v>1.2</v>
      </c>
      <c r="G77" s="3" t="s">
        <v>12</v>
      </c>
    </row>
    <row r="78" spans="2:13" x14ac:dyDescent="0.25">
      <c r="B78" s="3">
        <v>75</v>
      </c>
      <c r="C78" s="3">
        <v>6.4</v>
      </c>
      <c r="D78" s="3">
        <v>2.9</v>
      </c>
      <c r="E78" s="3">
        <v>4.3</v>
      </c>
      <c r="F78" s="3">
        <v>1.3</v>
      </c>
      <c r="G78" s="3" t="s">
        <v>12</v>
      </c>
    </row>
    <row r="79" spans="2:13" x14ac:dyDescent="0.25">
      <c r="B79" s="3">
        <v>76</v>
      </c>
      <c r="C79" s="3">
        <v>6.6</v>
      </c>
      <c r="D79" s="3">
        <v>3</v>
      </c>
      <c r="E79" s="3">
        <v>4.4000000000000004</v>
      </c>
      <c r="F79" s="3">
        <v>1.4</v>
      </c>
      <c r="G79" s="3" t="s">
        <v>12</v>
      </c>
    </row>
    <row r="80" spans="2:13" x14ac:dyDescent="0.25">
      <c r="B80" s="3">
        <v>77</v>
      </c>
      <c r="C80" s="3">
        <v>6.8</v>
      </c>
      <c r="D80" s="3">
        <v>2.8</v>
      </c>
      <c r="E80" s="3">
        <v>4.8</v>
      </c>
      <c r="F80" s="3">
        <v>1.4</v>
      </c>
      <c r="G80" s="3" t="s">
        <v>12</v>
      </c>
    </row>
    <row r="81" spans="2:16" x14ac:dyDescent="0.25">
      <c r="B81" s="3">
        <v>78</v>
      </c>
      <c r="C81" s="3">
        <v>6.7</v>
      </c>
      <c r="D81" s="3">
        <v>3</v>
      </c>
      <c r="E81" s="3">
        <v>5</v>
      </c>
      <c r="F81" s="3">
        <v>1.7</v>
      </c>
      <c r="G81" s="3" t="s">
        <v>12</v>
      </c>
    </row>
    <row r="82" spans="2:16" x14ac:dyDescent="0.25">
      <c r="B82" s="3">
        <v>79</v>
      </c>
      <c r="C82" s="3">
        <v>6</v>
      </c>
      <c r="D82" s="3">
        <v>2.9</v>
      </c>
      <c r="E82" s="3">
        <v>4.5</v>
      </c>
      <c r="F82" s="3">
        <v>1.5</v>
      </c>
      <c r="G82" s="3" t="s">
        <v>12</v>
      </c>
    </row>
    <row r="83" spans="2:16" x14ac:dyDescent="0.25">
      <c r="B83" s="3">
        <v>80</v>
      </c>
      <c r="C83" s="3">
        <v>5.7</v>
      </c>
      <c r="D83" s="3">
        <v>2.6</v>
      </c>
      <c r="E83" s="3">
        <v>3.5</v>
      </c>
      <c r="F83" s="3">
        <v>1</v>
      </c>
      <c r="G83" s="3" t="s">
        <v>12</v>
      </c>
    </row>
    <row r="84" spans="2:16" x14ac:dyDescent="0.25">
      <c r="B84" s="3">
        <v>81</v>
      </c>
      <c r="C84" s="3">
        <v>5.5</v>
      </c>
      <c r="D84" s="3">
        <v>2.4</v>
      </c>
      <c r="E84" s="3">
        <v>3.8</v>
      </c>
      <c r="F84" s="3">
        <v>1.1000000000000001</v>
      </c>
      <c r="G84" s="3" t="s">
        <v>12</v>
      </c>
      <c r="P84" s="16"/>
    </row>
    <row r="85" spans="2:16" x14ac:dyDescent="0.25">
      <c r="B85" s="3">
        <v>82</v>
      </c>
      <c r="C85" s="3">
        <v>5.5</v>
      </c>
      <c r="D85" s="3">
        <v>2.4</v>
      </c>
      <c r="E85" s="3">
        <v>3.7</v>
      </c>
      <c r="F85" s="3">
        <v>1</v>
      </c>
      <c r="G85" s="3" t="s">
        <v>12</v>
      </c>
    </row>
    <row r="86" spans="2:16" x14ac:dyDescent="0.25">
      <c r="B86" s="3">
        <v>83</v>
      </c>
      <c r="C86" s="3">
        <v>5.8</v>
      </c>
      <c r="D86" s="3">
        <v>2.7</v>
      </c>
      <c r="E86" s="3">
        <v>3.9</v>
      </c>
      <c r="F86" s="3">
        <v>1.2</v>
      </c>
      <c r="G86" s="3" t="s">
        <v>12</v>
      </c>
    </row>
    <row r="87" spans="2:16" x14ac:dyDescent="0.25">
      <c r="B87" s="3">
        <v>84</v>
      </c>
      <c r="C87" s="3">
        <v>6</v>
      </c>
      <c r="D87" s="3">
        <v>2.7</v>
      </c>
      <c r="E87" s="3">
        <v>5.0999999999999996</v>
      </c>
      <c r="F87" s="3">
        <v>1.6</v>
      </c>
      <c r="G87" s="3" t="s">
        <v>12</v>
      </c>
    </row>
    <row r="88" spans="2:16" x14ac:dyDescent="0.25">
      <c r="B88" s="3">
        <v>85</v>
      </c>
      <c r="C88" s="3">
        <v>5.4</v>
      </c>
      <c r="D88" s="3">
        <v>3</v>
      </c>
      <c r="E88" s="3">
        <v>4.5</v>
      </c>
      <c r="F88" s="3">
        <v>1.5</v>
      </c>
      <c r="G88" s="3" t="s">
        <v>12</v>
      </c>
    </row>
    <row r="89" spans="2:16" x14ac:dyDescent="0.25">
      <c r="B89" s="3">
        <v>86</v>
      </c>
      <c r="C89" s="3">
        <v>6</v>
      </c>
      <c r="D89" s="3">
        <v>3.4</v>
      </c>
      <c r="E89" s="3">
        <v>4.5</v>
      </c>
      <c r="F89" s="3">
        <v>1.6</v>
      </c>
      <c r="G89" s="3" t="s">
        <v>12</v>
      </c>
    </row>
    <row r="90" spans="2:16" x14ac:dyDescent="0.25">
      <c r="B90" s="3">
        <v>87</v>
      </c>
      <c r="C90" s="3">
        <v>6.7</v>
      </c>
      <c r="D90" s="3">
        <v>3.1</v>
      </c>
      <c r="E90" s="3">
        <v>4.7</v>
      </c>
      <c r="F90" s="3">
        <v>1.5</v>
      </c>
      <c r="G90" s="3" t="s">
        <v>12</v>
      </c>
    </row>
    <row r="91" spans="2:16" x14ac:dyDescent="0.25">
      <c r="B91" s="3">
        <v>88</v>
      </c>
      <c r="C91" s="3">
        <v>6.3</v>
      </c>
      <c r="D91" s="3">
        <v>2.2999999999999998</v>
      </c>
      <c r="E91" s="3">
        <v>4.4000000000000004</v>
      </c>
      <c r="F91" s="3">
        <v>1.3</v>
      </c>
      <c r="G91" s="3" t="s">
        <v>12</v>
      </c>
    </row>
    <row r="92" spans="2:16" x14ac:dyDescent="0.25">
      <c r="B92" s="3">
        <v>89</v>
      </c>
      <c r="C92" s="3">
        <v>5.6</v>
      </c>
      <c r="D92" s="3">
        <v>3</v>
      </c>
      <c r="E92" s="3">
        <v>4.0999999999999996</v>
      </c>
      <c r="F92" s="3">
        <v>1.3</v>
      </c>
      <c r="G92" s="3" t="s">
        <v>12</v>
      </c>
    </row>
    <row r="93" spans="2:16" x14ac:dyDescent="0.25">
      <c r="B93" s="3">
        <v>90</v>
      </c>
      <c r="C93" s="3">
        <v>5.5</v>
      </c>
      <c r="D93" s="3">
        <v>2.5</v>
      </c>
      <c r="E93" s="3">
        <v>4</v>
      </c>
      <c r="F93" s="3">
        <v>1.3</v>
      </c>
      <c r="G93" s="3" t="s">
        <v>12</v>
      </c>
    </row>
    <row r="94" spans="2:16" x14ac:dyDescent="0.25">
      <c r="B94" s="3">
        <v>91</v>
      </c>
      <c r="C94" s="3">
        <v>5.5</v>
      </c>
      <c r="D94" s="3">
        <v>2.6</v>
      </c>
      <c r="E94" s="3">
        <v>4.4000000000000004</v>
      </c>
      <c r="F94" s="3">
        <v>1.2</v>
      </c>
      <c r="G94" s="3" t="s">
        <v>12</v>
      </c>
    </row>
    <row r="95" spans="2:16" x14ac:dyDescent="0.25">
      <c r="B95" s="3">
        <v>92</v>
      </c>
      <c r="C95" s="3">
        <v>6.1</v>
      </c>
      <c r="D95" s="3">
        <v>3</v>
      </c>
      <c r="E95" s="3">
        <v>4.5999999999999996</v>
      </c>
      <c r="F95" s="3">
        <v>1.4</v>
      </c>
      <c r="G95" s="3" t="s">
        <v>12</v>
      </c>
    </row>
    <row r="96" spans="2:16" x14ac:dyDescent="0.25">
      <c r="B96" s="3">
        <v>93</v>
      </c>
      <c r="C96" s="3">
        <v>5.8</v>
      </c>
      <c r="D96" s="3">
        <v>2.6</v>
      </c>
      <c r="E96" s="3">
        <v>4</v>
      </c>
      <c r="F96" s="3">
        <v>1.2</v>
      </c>
      <c r="G96" s="3" t="s">
        <v>12</v>
      </c>
    </row>
    <row r="97" spans="2:7" x14ac:dyDescent="0.25">
      <c r="B97" s="3">
        <v>94</v>
      </c>
      <c r="C97" s="3">
        <v>5</v>
      </c>
      <c r="D97" s="3">
        <v>2.2999999999999998</v>
      </c>
      <c r="E97" s="3">
        <v>3.3</v>
      </c>
      <c r="F97" s="3">
        <v>1</v>
      </c>
      <c r="G97" s="3" t="s">
        <v>12</v>
      </c>
    </row>
    <row r="98" spans="2:7" x14ac:dyDescent="0.25">
      <c r="B98" s="3">
        <v>95</v>
      </c>
      <c r="C98" s="3">
        <v>5.6</v>
      </c>
      <c r="D98" s="3">
        <v>2.7</v>
      </c>
      <c r="E98" s="3">
        <v>4.2</v>
      </c>
      <c r="F98" s="3">
        <v>1.3</v>
      </c>
      <c r="G98" s="3" t="s">
        <v>12</v>
      </c>
    </row>
    <row r="99" spans="2:7" x14ac:dyDescent="0.25">
      <c r="B99" s="3">
        <v>96</v>
      </c>
      <c r="C99" s="3">
        <v>5.7</v>
      </c>
      <c r="D99" s="3">
        <v>3</v>
      </c>
      <c r="E99" s="3">
        <v>4.2</v>
      </c>
      <c r="F99" s="3">
        <v>1.2</v>
      </c>
      <c r="G99" s="3" t="s">
        <v>12</v>
      </c>
    </row>
    <row r="100" spans="2:7" x14ac:dyDescent="0.25">
      <c r="B100" s="3">
        <v>97</v>
      </c>
      <c r="C100" s="3">
        <v>5.7</v>
      </c>
      <c r="D100" s="3">
        <v>2.9</v>
      </c>
      <c r="E100" s="3">
        <v>4.2</v>
      </c>
      <c r="F100" s="3">
        <v>1.3</v>
      </c>
      <c r="G100" s="3" t="s">
        <v>12</v>
      </c>
    </row>
    <row r="101" spans="2:7" x14ac:dyDescent="0.25">
      <c r="B101" s="3">
        <v>98</v>
      </c>
      <c r="C101" s="3">
        <v>6.2</v>
      </c>
      <c r="D101" s="3">
        <v>2.9</v>
      </c>
      <c r="E101" s="3">
        <v>4.3</v>
      </c>
      <c r="F101" s="3">
        <v>1.3</v>
      </c>
      <c r="G101" s="3" t="s">
        <v>12</v>
      </c>
    </row>
    <row r="102" spans="2:7" x14ac:dyDescent="0.25">
      <c r="B102" s="3">
        <v>99</v>
      </c>
      <c r="C102" s="3">
        <v>5.0999999999999996</v>
      </c>
      <c r="D102" s="3">
        <v>2.5</v>
      </c>
      <c r="E102" s="3">
        <v>3</v>
      </c>
      <c r="F102" s="3">
        <v>1.1000000000000001</v>
      </c>
      <c r="G102" s="3" t="s">
        <v>12</v>
      </c>
    </row>
    <row r="103" spans="2:7" x14ac:dyDescent="0.25">
      <c r="B103" s="3">
        <v>100</v>
      </c>
      <c r="C103" s="3">
        <v>5.7</v>
      </c>
      <c r="D103" s="3">
        <v>2.8</v>
      </c>
      <c r="E103" s="3">
        <v>4.0999999999999996</v>
      </c>
      <c r="F103" s="3">
        <v>1.3</v>
      </c>
      <c r="G103" s="3" t="s">
        <v>12</v>
      </c>
    </row>
    <row r="104" spans="2:7" x14ac:dyDescent="0.25">
      <c r="B104" s="3">
        <v>101</v>
      </c>
      <c r="C104" s="3">
        <v>6.3</v>
      </c>
      <c r="D104" s="3">
        <v>3.3</v>
      </c>
      <c r="E104" s="3">
        <v>6</v>
      </c>
      <c r="F104" s="3">
        <v>2.5</v>
      </c>
      <c r="G104" s="3" t="s">
        <v>13</v>
      </c>
    </row>
    <row r="105" spans="2:7" x14ac:dyDescent="0.25">
      <c r="B105" s="3">
        <v>102</v>
      </c>
      <c r="C105" s="3">
        <v>5.8</v>
      </c>
      <c r="D105" s="3">
        <v>2.7</v>
      </c>
      <c r="E105" s="3">
        <v>5.0999999999999996</v>
      </c>
      <c r="F105" s="3">
        <v>1.9</v>
      </c>
      <c r="G105" s="3" t="s">
        <v>13</v>
      </c>
    </row>
    <row r="106" spans="2:7" x14ac:dyDescent="0.25">
      <c r="B106" s="3">
        <v>103</v>
      </c>
      <c r="C106" s="3">
        <v>7.1</v>
      </c>
      <c r="D106" s="3">
        <v>3</v>
      </c>
      <c r="E106" s="3">
        <v>5.9</v>
      </c>
      <c r="F106" s="3">
        <v>2.1</v>
      </c>
      <c r="G106" s="3" t="s">
        <v>13</v>
      </c>
    </row>
    <row r="107" spans="2:7" x14ac:dyDescent="0.25">
      <c r="B107" s="3">
        <v>104</v>
      </c>
      <c r="C107" s="3">
        <v>6.3</v>
      </c>
      <c r="D107" s="3">
        <v>2.9</v>
      </c>
      <c r="E107" s="3">
        <v>5.6</v>
      </c>
      <c r="F107" s="3">
        <v>1.8</v>
      </c>
      <c r="G107" s="3" t="s">
        <v>13</v>
      </c>
    </row>
    <row r="108" spans="2:7" x14ac:dyDescent="0.25">
      <c r="B108" s="3">
        <v>105</v>
      </c>
      <c r="C108" s="3">
        <v>6.5</v>
      </c>
      <c r="D108" s="3">
        <v>3</v>
      </c>
      <c r="E108" s="3">
        <v>5.8</v>
      </c>
      <c r="F108" s="3">
        <v>2.2000000000000002</v>
      </c>
      <c r="G108" s="3" t="s">
        <v>13</v>
      </c>
    </row>
    <row r="109" spans="2:7" x14ac:dyDescent="0.25">
      <c r="B109" s="3">
        <v>106</v>
      </c>
      <c r="C109" s="3">
        <v>7.6</v>
      </c>
      <c r="D109" s="3">
        <v>3</v>
      </c>
      <c r="E109" s="3">
        <v>6.6</v>
      </c>
      <c r="F109" s="3">
        <v>2.1</v>
      </c>
      <c r="G109" s="3" t="s">
        <v>13</v>
      </c>
    </row>
    <row r="110" spans="2:7" x14ac:dyDescent="0.25">
      <c r="B110" s="3">
        <v>107</v>
      </c>
      <c r="C110" s="3">
        <v>4.9000000000000004</v>
      </c>
      <c r="D110" s="3">
        <v>2.5</v>
      </c>
      <c r="E110" s="3">
        <v>4.5</v>
      </c>
      <c r="F110" s="3">
        <v>1.7</v>
      </c>
      <c r="G110" s="3" t="s">
        <v>13</v>
      </c>
    </row>
    <row r="111" spans="2:7" x14ac:dyDescent="0.25">
      <c r="B111" s="3">
        <v>108</v>
      </c>
      <c r="C111" s="3">
        <v>7.3</v>
      </c>
      <c r="D111" s="3">
        <v>2.9</v>
      </c>
      <c r="E111" s="3">
        <v>6.3</v>
      </c>
      <c r="F111" s="3">
        <v>1.8</v>
      </c>
      <c r="G111" s="3" t="s">
        <v>13</v>
      </c>
    </row>
    <row r="112" spans="2:7" x14ac:dyDescent="0.25">
      <c r="B112" s="3">
        <v>109</v>
      </c>
      <c r="C112" s="3">
        <v>6.7</v>
      </c>
      <c r="D112" s="3">
        <v>2.5</v>
      </c>
      <c r="E112" s="3">
        <v>5.8</v>
      </c>
      <c r="F112" s="3">
        <v>1.8</v>
      </c>
      <c r="G112" s="3" t="s">
        <v>13</v>
      </c>
    </row>
    <row r="113" spans="2:7" x14ac:dyDescent="0.25">
      <c r="B113" s="3">
        <v>110</v>
      </c>
      <c r="C113" s="3">
        <v>7.2</v>
      </c>
      <c r="D113" s="3">
        <v>3.6</v>
      </c>
      <c r="E113" s="3">
        <v>6.1</v>
      </c>
      <c r="F113" s="3">
        <v>2.5</v>
      </c>
      <c r="G113" s="3" t="s">
        <v>13</v>
      </c>
    </row>
    <row r="114" spans="2:7" x14ac:dyDescent="0.25">
      <c r="B114" s="3">
        <v>111</v>
      </c>
      <c r="C114" s="3">
        <v>6.5</v>
      </c>
      <c r="D114" s="3">
        <v>3.2</v>
      </c>
      <c r="E114" s="3">
        <v>5.0999999999999996</v>
      </c>
      <c r="F114" s="3">
        <v>2</v>
      </c>
      <c r="G114" s="3" t="s">
        <v>13</v>
      </c>
    </row>
    <row r="115" spans="2:7" x14ac:dyDescent="0.25">
      <c r="B115" s="3">
        <v>112</v>
      </c>
      <c r="C115" s="3">
        <v>6.4</v>
      </c>
      <c r="D115" s="3">
        <v>2.7</v>
      </c>
      <c r="E115" s="3">
        <v>5.3</v>
      </c>
      <c r="F115" s="3">
        <v>1.9</v>
      </c>
      <c r="G115" s="3" t="s">
        <v>13</v>
      </c>
    </row>
    <row r="116" spans="2:7" x14ac:dyDescent="0.25">
      <c r="B116" s="3">
        <v>113</v>
      </c>
      <c r="C116" s="3">
        <v>6.8</v>
      </c>
      <c r="D116" s="3">
        <v>3</v>
      </c>
      <c r="E116" s="3">
        <v>5.5</v>
      </c>
      <c r="F116" s="3">
        <v>2.1</v>
      </c>
      <c r="G116" s="3" t="s">
        <v>13</v>
      </c>
    </row>
    <row r="117" spans="2:7" x14ac:dyDescent="0.25">
      <c r="B117" s="3">
        <v>114</v>
      </c>
      <c r="C117" s="3">
        <v>5.7</v>
      </c>
      <c r="D117" s="3">
        <v>2.5</v>
      </c>
      <c r="E117" s="3">
        <v>5</v>
      </c>
      <c r="F117" s="3">
        <v>2</v>
      </c>
      <c r="G117" s="3" t="s">
        <v>13</v>
      </c>
    </row>
    <row r="118" spans="2:7" x14ac:dyDescent="0.25">
      <c r="B118" s="3">
        <v>115</v>
      </c>
      <c r="C118" s="3">
        <v>5.8</v>
      </c>
      <c r="D118" s="3">
        <v>2.8</v>
      </c>
      <c r="E118" s="3">
        <v>5.0999999999999996</v>
      </c>
      <c r="F118" s="3">
        <v>2.4</v>
      </c>
      <c r="G118" s="3" t="s">
        <v>13</v>
      </c>
    </row>
    <row r="119" spans="2:7" x14ac:dyDescent="0.25">
      <c r="B119" s="3">
        <v>116</v>
      </c>
      <c r="C119" s="3">
        <v>6.4</v>
      </c>
      <c r="D119" s="3">
        <v>3.2</v>
      </c>
      <c r="E119" s="3">
        <v>5.3</v>
      </c>
      <c r="F119" s="3">
        <v>2.2999999999999998</v>
      </c>
      <c r="G119" s="3" t="s">
        <v>13</v>
      </c>
    </row>
    <row r="120" spans="2:7" x14ac:dyDescent="0.25">
      <c r="B120" s="3">
        <v>117</v>
      </c>
      <c r="C120" s="3">
        <v>6.5</v>
      </c>
      <c r="D120" s="3">
        <v>3</v>
      </c>
      <c r="E120" s="3">
        <v>5.5</v>
      </c>
      <c r="F120" s="3">
        <v>1.8</v>
      </c>
      <c r="G120" s="3" t="s">
        <v>13</v>
      </c>
    </row>
    <row r="121" spans="2:7" x14ac:dyDescent="0.25">
      <c r="B121" s="3">
        <v>118</v>
      </c>
      <c r="C121" s="3">
        <v>7.7</v>
      </c>
      <c r="D121" s="3">
        <v>3.8</v>
      </c>
      <c r="E121" s="3">
        <v>6.7</v>
      </c>
      <c r="F121" s="3">
        <v>2.2000000000000002</v>
      </c>
      <c r="G121" s="3" t="s">
        <v>13</v>
      </c>
    </row>
    <row r="122" spans="2:7" x14ac:dyDescent="0.25">
      <c r="B122" s="3">
        <v>119</v>
      </c>
      <c r="C122" s="3">
        <v>7.7</v>
      </c>
      <c r="D122" s="3">
        <v>2.6</v>
      </c>
      <c r="E122" s="3">
        <v>6.9</v>
      </c>
      <c r="F122" s="3">
        <v>2.2999999999999998</v>
      </c>
      <c r="G122" s="3" t="s">
        <v>13</v>
      </c>
    </row>
    <row r="123" spans="2:7" x14ac:dyDescent="0.25">
      <c r="B123" s="3">
        <v>120</v>
      </c>
      <c r="C123" s="3">
        <v>6</v>
      </c>
      <c r="D123" s="3">
        <v>2.2000000000000002</v>
      </c>
      <c r="E123" s="3">
        <v>5</v>
      </c>
      <c r="F123" s="3">
        <v>1.5</v>
      </c>
      <c r="G123" s="3" t="s">
        <v>13</v>
      </c>
    </row>
    <row r="124" spans="2:7" x14ac:dyDescent="0.25">
      <c r="B124" s="3">
        <v>121</v>
      </c>
      <c r="C124" s="3">
        <v>6.9</v>
      </c>
      <c r="D124" s="3">
        <v>3.2</v>
      </c>
      <c r="E124" s="3">
        <v>5.7</v>
      </c>
      <c r="F124" s="3">
        <v>2.2999999999999998</v>
      </c>
      <c r="G124" s="3" t="s">
        <v>13</v>
      </c>
    </row>
    <row r="125" spans="2:7" x14ac:dyDescent="0.25">
      <c r="B125" s="3">
        <v>122</v>
      </c>
      <c r="C125" s="3">
        <v>5.6</v>
      </c>
      <c r="D125" s="3">
        <v>2.8</v>
      </c>
      <c r="E125" s="3">
        <v>4.9000000000000004</v>
      </c>
      <c r="F125" s="3">
        <v>2</v>
      </c>
      <c r="G125" s="3" t="s">
        <v>13</v>
      </c>
    </row>
    <row r="126" spans="2:7" x14ac:dyDescent="0.25">
      <c r="B126" s="3">
        <v>123</v>
      </c>
      <c r="C126" s="3">
        <v>7.7</v>
      </c>
      <c r="D126" s="3">
        <v>2.8</v>
      </c>
      <c r="E126" s="3">
        <v>6.7</v>
      </c>
      <c r="F126" s="3">
        <v>2</v>
      </c>
      <c r="G126" s="3" t="s">
        <v>13</v>
      </c>
    </row>
    <row r="127" spans="2:7" x14ac:dyDescent="0.25">
      <c r="B127" s="3">
        <v>124</v>
      </c>
      <c r="C127" s="3">
        <v>6.3</v>
      </c>
      <c r="D127" s="3">
        <v>2.7</v>
      </c>
      <c r="E127" s="3">
        <v>4.9000000000000004</v>
      </c>
      <c r="F127" s="3">
        <v>1.8</v>
      </c>
      <c r="G127" s="3" t="s">
        <v>13</v>
      </c>
    </row>
    <row r="128" spans="2:7" x14ac:dyDescent="0.25">
      <c r="B128" s="3">
        <v>125</v>
      </c>
      <c r="C128" s="3">
        <v>6.7</v>
      </c>
      <c r="D128" s="3">
        <v>3.3</v>
      </c>
      <c r="E128" s="3">
        <v>5.7</v>
      </c>
      <c r="F128" s="3">
        <v>2.1</v>
      </c>
      <c r="G128" s="3" t="s">
        <v>13</v>
      </c>
    </row>
    <row r="129" spans="2:7" x14ac:dyDescent="0.25">
      <c r="B129" s="3">
        <v>126</v>
      </c>
      <c r="C129" s="3">
        <v>7.2</v>
      </c>
      <c r="D129" s="3">
        <v>3.2</v>
      </c>
      <c r="E129" s="3">
        <v>6</v>
      </c>
      <c r="F129" s="3">
        <v>1.8</v>
      </c>
      <c r="G129" s="3" t="s">
        <v>13</v>
      </c>
    </row>
    <row r="130" spans="2:7" x14ac:dyDescent="0.25">
      <c r="B130" s="3">
        <v>127</v>
      </c>
      <c r="C130" s="3">
        <v>6.2</v>
      </c>
      <c r="D130" s="3">
        <v>2.8</v>
      </c>
      <c r="E130" s="3">
        <v>4.8</v>
      </c>
      <c r="F130" s="3">
        <v>1.8</v>
      </c>
      <c r="G130" s="3" t="s">
        <v>13</v>
      </c>
    </row>
    <row r="131" spans="2:7" x14ac:dyDescent="0.25">
      <c r="B131" s="3">
        <v>128</v>
      </c>
      <c r="C131" s="3">
        <v>6.1</v>
      </c>
      <c r="D131" s="3">
        <v>3</v>
      </c>
      <c r="E131" s="3">
        <v>4.9000000000000004</v>
      </c>
      <c r="F131" s="3">
        <v>1.8</v>
      </c>
      <c r="G131" s="3" t="s">
        <v>13</v>
      </c>
    </row>
    <row r="132" spans="2:7" x14ac:dyDescent="0.25">
      <c r="B132" s="3">
        <v>129</v>
      </c>
      <c r="C132" s="3">
        <v>6.4</v>
      </c>
      <c r="D132" s="3">
        <v>2.8</v>
      </c>
      <c r="E132" s="3">
        <v>5.6</v>
      </c>
      <c r="F132" s="3">
        <v>2.1</v>
      </c>
      <c r="G132" s="3" t="s">
        <v>13</v>
      </c>
    </row>
    <row r="133" spans="2:7" x14ac:dyDescent="0.25">
      <c r="B133" s="3">
        <v>130</v>
      </c>
      <c r="C133" s="3">
        <v>7.2</v>
      </c>
      <c r="D133" s="3">
        <v>3</v>
      </c>
      <c r="E133" s="3">
        <v>5.8</v>
      </c>
      <c r="F133" s="3">
        <v>1.6</v>
      </c>
      <c r="G133" s="3" t="s">
        <v>13</v>
      </c>
    </row>
    <row r="134" spans="2:7" x14ac:dyDescent="0.25">
      <c r="B134" s="3">
        <v>131</v>
      </c>
      <c r="C134" s="3">
        <v>7.4</v>
      </c>
      <c r="D134" s="3">
        <v>2.8</v>
      </c>
      <c r="E134" s="3">
        <v>6.1</v>
      </c>
      <c r="F134" s="3">
        <v>1.9</v>
      </c>
      <c r="G134" s="3" t="s">
        <v>13</v>
      </c>
    </row>
    <row r="135" spans="2:7" x14ac:dyDescent="0.25">
      <c r="B135" s="3">
        <v>132</v>
      </c>
      <c r="C135" s="3">
        <v>7.9</v>
      </c>
      <c r="D135" s="3">
        <v>3.8</v>
      </c>
      <c r="E135" s="3">
        <v>6.4</v>
      </c>
      <c r="F135" s="3">
        <v>2</v>
      </c>
      <c r="G135" s="3" t="s">
        <v>13</v>
      </c>
    </row>
    <row r="136" spans="2:7" x14ac:dyDescent="0.25">
      <c r="B136" s="3">
        <v>133</v>
      </c>
      <c r="C136" s="3">
        <v>6.4</v>
      </c>
      <c r="D136" s="3">
        <v>2.8</v>
      </c>
      <c r="E136" s="3">
        <v>5.6</v>
      </c>
      <c r="F136" s="3">
        <v>2.2000000000000002</v>
      </c>
      <c r="G136" s="3" t="s">
        <v>13</v>
      </c>
    </row>
    <row r="137" spans="2:7" x14ac:dyDescent="0.25">
      <c r="B137" s="3">
        <v>134</v>
      </c>
      <c r="C137" s="3">
        <v>6.3</v>
      </c>
      <c r="D137" s="3">
        <v>2.8</v>
      </c>
      <c r="E137" s="3">
        <v>5.0999999999999996</v>
      </c>
      <c r="F137" s="3">
        <v>1.5</v>
      </c>
      <c r="G137" s="3" t="s">
        <v>13</v>
      </c>
    </row>
    <row r="138" spans="2:7" x14ac:dyDescent="0.25">
      <c r="B138" s="3">
        <v>135</v>
      </c>
      <c r="C138" s="3">
        <v>6.1</v>
      </c>
      <c r="D138" s="3">
        <v>2.6</v>
      </c>
      <c r="E138" s="3">
        <v>5.6</v>
      </c>
      <c r="F138" s="3">
        <v>1.4</v>
      </c>
      <c r="G138" s="3" t="s">
        <v>13</v>
      </c>
    </row>
    <row r="139" spans="2:7" x14ac:dyDescent="0.25">
      <c r="B139" s="3">
        <v>136</v>
      </c>
      <c r="C139" s="3">
        <v>7.7</v>
      </c>
      <c r="D139" s="3">
        <v>3</v>
      </c>
      <c r="E139" s="3">
        <v>6.1</v>
      </c>
      <c r="F139" s="3">
        <v>2.2999999999999998</v>
      </c>
      <c r="G139" s="3" t="s">
        <v>13</v>
      </c>
    </row>
    <row r="140" spans="2:7" x14ac:dyDescent="0.25">
      <c r="B140" s="3">
        <v>137</v>
      </c>
      <c r="C140" s="3">
        <v>6.3</v>
      </c>
      <c r="D140" s="3">
        <v>3.4</v>
      </c>
      <c r="E140" s="3">
        <v>5.6</v>
      </c>
      <c r="F140" s="3">
        <v>2.4</v>
      </c>
      <c r="G140" s="3" t="s">
        <v>13</v>
      </c>
    </row>
    <row r="141" spans="2:7" x14ac:dyDescent="0.25">
      <c r="B141" s="3">
        <v>138</v>
      </c>
      <c r="C141" s="3">
        <v>6.4</v>
      </c>
      <c r="D141" s="3">
        <v>3.1</v>
      </c>
      <c r="E141" s="3">
        <v>5.5</v>
      </c>
      <c r="F141" s="3">
        <v>1.8</v>
      </c>
      <c r="G141" s="3" t="s">
        <v>13</v>
      </c>
    </row>
    <row r="142" spans="2:7" x14ac:dyDescent="0.25">
      <c r="B142" s="3">
        <v>139</v>
      </c>
      <c r="C142" s="3">
        <v>6</v>
      </c>
      <c r="D142" s="3">
        <v>3</v>
      </c>
      <c r="E142" s="3">
        <v>4.8</v>
      </c>
      <c r="F142" s="3">
        <v>1.8</v>
      </c>
      <c r="G142" s="3" t="s">
        <v>13</v>
      </c>
    </row>
    <row r="143" spans="2:7" x14ac:dyDescent="0.25">
      <c r="B143" s="3">
        <v>140</v>
      </c>
      <c r="C143" s="3">
        <v>6.9</v>
      </c>
      <c r="D143" s="3">
        <v>3.1</v>
      </c>
      <c r="E143" s="3">
        <v>5.4</v>
      </c>
      <c r="F143" s="3">
        <v>2.1</v>
      </c>
      <c r="G143" s="3" t="s">
        <v>13</v>
      </c>
    </row>
    <row r="144" spans="2:7" x14ac:dyDescent="0.25">
      <c r="B144" s="3">
        <v>141</v>
      </c>
      <c r="C144" s="3">
        <v>6.7</v>
      </c>
      <c r="D144" s="3">
        <v>3.1</v>
      </c>
      <c r="E144" s="3">
        <v>5.6</v>
      </c>
      <c r="F144" s="3">
        <v>2.4</v>
      </c>
      <c r="G144" s="3" t="s">
        <v>13</v>
      </c>
    </row>
    <row r="145" spans="2:7" x14ac:dyDescent="0.25">
      <c r="B145" s="3">
        <v>142</v>
      </c>
      <c r="C145" s="3">
        <v>6.9</v>
      </c>
      <c r="D145" s="3">
        <v>3.1</v>
      </c>
      <c r="E145" s="3">
        <v>5.0999999999999996</v>
      </c>
      <c r="F145" s="3">
        <v>2.2999999999999998</v>
      </c>
      <c r="G145" s="3" t="s">
        <v>13</v>
      </c>
    </row>
    <row r="146" spans="2:7" x14ac:dyDescent="0.25">
      <c r="B146" s="3">
        <v>143</v>
      </c>
      <c r="C146" s="3">
        <v>5.8</v>
      </c>
      <c r="D146" s="3">
        <v>2.7</v>
      </c>
      <c r="E146" s="3">
        <v>5.0999999999999996</v>
      </c>
      <c r="F146" s="3">
        <v>1.9</v>
      </c>
      <c r="G146" s="3" t="s">
        <v>13</v>
      </c>
    </row>
    <row r="147" spans="2:7" x14ac:dyDescent="0.25">
      <c r="B147" s="3">
        <v>144</v>
      </c>
      <c r="C147" s="3">
        <v>6.8</v>
      </c>
      <c r="D147" s="3">
        <v>3.2</v>
      </c>
      <c r="E147" s="3">
        <v>5.9</v>
      </c>
      <c r="F147" s="3">
        <v>2.2999999999999998</v>
      </c>
      <c r="G147" s="3" t="s">
        <v>13</v>
      </c>
    </row>
    <row r="148" spans="2:7" x14ac:dyDescent="0.25">
      <c r="B148" s="3">
        <v>145</v>
      </c>
      <c r="C148" s="3">
        <v>6.7</v>
      </c>
      <c r="D148" s="3">
        <v>3.3</v>
      </c>
      <c r="E148" s="3">
        <v>5.7</v>
      </c>
      <c r="F148" s="3">
        <v>2.5</v>
      </c>
      <c r="G148" s="3" t="s">
        <v>13</v>
      </c>
    </row>
    <row r="149" spans="2:7" x14ac:dyDescent="0.25">
      <c r="B149" s="3">
        <v>146</v>
      </c>
      <c r="C149" s="3">
        <v>6.7</v>
      </c>
      <c r="D149" s="3">
        <v>3</v>
      </c>
      <c r="E149" s="3">
        <v>5.2</v>
      </c>
      <c r="F149" s="3">
        <v>2.2999999999999998</v>
      </c>
      <c r="G149" s="3" t="s">
        <v>13</v>
      </c>
    </row>
    <row r="150" spans="2:7" x14ac:dyDescent="0.25">
      <c r="B150" s="3">
        <v>147</v>
      </c>
      <c r="C150" s="3">
        <v>6.3</v>
      </c>
      <c r="D150" s="3">
        <v>2.5</v>
      </c>
      <c r="E150" s="3">
        <v>5</v>
      </c>
      <c r="F150" s="3">
        <v>1.9</v>
      </c>
      <c r="G150" s="3" t="s">
        <v>13</v>
      </c>
    </row>
    <row r="151" spans="2:7" x14ac:dyDescent="0.25">
      <c r="B151" s="3">
        <v>148</v>
      </c>
      <c r="C151" s="3">
        <v>6.5</v>
      </c>
      <c r="D151" s="3">
        <v>3</v>
      </c>
      <c r="E151" s="3">
        <v>5.2</v>
      </c>
      <c r="F151" s="3">
        <v>2</v>
      </c>
      <c r="G151" s="3" t="s">
        <v>13</v>
      </c>
    </row>
    <row r="152" spans="2:7" x14ac:dyDescent="0.25">
      <c r="B152" s="3">
        <v>149</v>
      </c>
      <c r="C152" s="3">
        <v>6.2</v>
      </c>
      <c r="D152" s="3">
        <v>3.4</v>
      </c>
      <c r="E152" s="3">
        <v>5.4</v>
      </c>
      <c r="F152" s="3">
        <v>2.2999999999999998</v>
      </c>
      <c r="G152" s="3" t="s">
        <v>13</v>
      </c>
    </row>
    <row r="153" spans="2:7" ht="15.75" thickBot="1" x14ac:dyDescent="0.3">
      <c r="B153" s="17">
        <v>150</v>
      </c>
      <c r="C153" s="17">
        <v>5.9</v>
      </c>
      <c r="D153" s="17">
        <v>3</v>
      </c>
      <c r="E153" s="17">
        <v>5.0999999999999996</v>
      </c>
      <c r="F153" s="17">
        <v>1.8</v>
      </c>
      <c r="G153" s="17" t="s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5455-70D4-481E-960A-1C9EC6F90790}">
  <dimension ref="B1:N152"/>
  <sheetViews>
    <sheetView topLeftCell="A4" workbookViewId="0">
      <selection activeCell="Q111" sqref="Q111"/>
    </sheetView>
  </sheetViews>
  <sheetFormatPr defaultRowHeight="15" x14ac:dyDescent="0.25"/>
  <cols>
    <col min="10" max="10" width="15.28515625" customWidth="1"/>
    <col min="11" max="11" width="20.42578125" customWidth="1"/>
    <col min="12" max="12" width="19.7109375" customWidth="1"/>
    <col min="13" max="13" width="14" customWidth="1"/>
    <col min="14" max="14" width="18" customWidth="1"/>
    <col min="15" max="15" width="19.5703125" customWidth="1"/>
    <col min="17" max="17" width="14.140625" customWidth="1"/>
  </cols>
  <sheetData>
    <row r="1" spans="2:14" ht="15.75" thickBot="1" x14ac:dyDescent="0.3"/>
    <row r="2" spans="2:14" ht="15.75" thickBot="1" x14ac:dyDescent="0.3">
      <c r="B2" s="37" t="s">
        <v>27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J2" s="84" t="s">
        <v>24</v>
      </c>
      <c r="K2" s="85"/>
      <c r="L2" s="85"/>
      <c r="M2" s="85"/>
      <c r="N2" s="85"/>
    </row>
    <row r="3" spans="2:14" x14ac:dyDescent="0.25">
      <c r="B3" s="31">
        <v>1</v>
      </c>
      <c r="C3" s="31">
        <v>5.0999999999999996</v>
      </c>
      <c r="D3" s="31">
        <v>3.5</v>
      </c>
      <c r="E3" s="31">
        <v>1.4</v>
      </c>
      <c r="F3" s="31">
        <v>0.2</v>
      </c>
      <c r="G3" s="27" t="s">
        <v>6</v>
      </c>
      <c r="J3" s="40"/>
      <c r="K3" s="40" t="s">
        <v>0</v>
      </c>
      <c r="L3" s="40" t="s">
        <v>1</v>
      </c>
      <c r="M3" s="40" t="s">
        <v>2</v>
      </c>
      <c r="N3" s="40" t="s">
        <v>3</v>
      </c>
    </row>
    <row r="4" spans="2:14" x14ac:dyDescent="0.25">
      <c r="B4" s="32">
        <v>2</v>
      </c>
      <c r="C4" s="32">
        <v>4.9000000000000004</v>
      </c>
      <c r="D4" s="32">
        <v>3</v>
      </c>
      <c r="E4" s="32">
        <v>1.4</v>
      </c>
      <c r="F4" s="32">
        <v>0.2</v>
      </c>
      <c r="G4" s="28" t="s">
        <v>6</v>
      </c>
      <c r="J4" s="41" t="s">
        <v>0</v>
      </c>
      <c r="K4" s="41">
        <v>1</v>
      </c>
      <c r="L4" s="41"/>
      <c r="M4" s="41"/>
      <c r="N4" s="41"/>
    </row>
    <row r="5" spans="2:14" x14ac:dyDescent="0.25">
      <c r="B5" s="32">
        <v>3</v>
      </c>
      <c r="C5" s="32">
        <v>4.7</v>
      </c>
      <c r="D5" s="32">
        <v>3.2</v>
      </c>
      <c r="E5" s="32">
        <v>1.3</v>
      </c>
      <c r="F5" s="32">
        <v>0.2</v>
      </c>
      <c r="G5" s="28" t="s">
        <v>6</v>
      </c>
      <c r="J5" s="41" t="s">
        <v>1</v>
      </c>
      <c r="K5" s="41">
        <v>0.74254668566516002</v>
      </c>
      <c r="L5" s="41">
        <v>1</v>
      </c>
      <c r="M5" s="41"/>
      <c r="N5" s="41"/>
    </row>
    <row r="6" spans="2:14" x14ac:dyDescent="0.25">
      <c r="B6" s="32">
        <v>4</v>
      </c>
      <c r="C6" s="32">
        <v>4.5999999999999996</v>
      </c>
      <c r="D6" s="32">
        <v>3.1</v>
      </c>
      <c r="E6" s="32">
        <v>1.5</v>
      </c>
      <c r="F6" s="32">
        <v>0.2</v>
      </c>
      <c r="G6" s="28" t="s">
        <v>6</v>
      </c>
      <c r="J6" s="41" t="s">
        <v>2</v>
      </c>
      <c r="K6" s="41">
        <v>0.26717575886875716</v>
      </c>
      <c r="L6" s="41">
        <v>0.17769996678227074</v>
      </c>
      <c r="M6" s="41">
        <v>1</v>
      </c>
      <c r="N6" s="41"/>
    </row>
    <row r="7" spans="2:14" x14ac:dyDescent="0.25">
      <c r="B7" s="32">
        <v>5</v>
      </c>
      <c r="C7" s="32">
        <v>5</v>
      </c>
      <c r="D7" s="32">
        <v>3.6</v>
      </c>
      <c r="E7" s="32">
        <v>1.4</v>
      </c>
      <c r="F7" s="32">
        <v>0.2</v>
      </c>
      <c r="G7" s="28" t="s">
        <v>6</v>
      </c>
      <c r="J7" s="41" t="s">
        <v>3</v>
      </c>
      <c r="K7" s="41">
        <v>0.27809835293596941</v>
      </c>
      <c r="L7" s="41">
        <v>0.23275201136287943</v>
      </c>
      <c r="M7" s="41">
        <v>0.33163004080411851</v>
      </c>
      <c r="N7" s="41">
        <v>1</v>
      </c>
    </row>
    <row r="8" spans="2:14" x14ac:dyDescent="0.25">
      <c r="B8" s="32">
        <v>6</v>
      </c>
      <c r="C8" s="32">
        <v>5.4</v>
      </c>
      <c r="D8" s="32">
        <v>3.9</v>
      </c>
      <c r="E8" s="32">
        <v>1.7</v>
      </c>
      <c r="F8" s="32">
        <v>0.4</v>
      </c>
      <c r="G8" s="28" t="s">
        <v>6</v>
      </c>
    </row>
    <row r="9" spans="2:14" x14ac:dyDescent="0.25">
      <c r="B9" s="32">
        <v>7</v>
      </c>
      <c r="C9" s="32">
        <v>4.5999999999999996</v>
      </c>
      <c r="D9" s="32">
        <v>3.4</v>
      </c>
      <c r="E9" s="32">
        <v>1.4</v>
      </c>
      <c r="F9" s="32">
        <v>0.3</v>
      </c>
      <c r="G9" s="28" t="s">
        <v>6</v>
      </c>
      <c r="J9" s="86" t="s">
        <v>25</v>
      </c>
      <c r="K9" s="87"/>
      <c r="L9" s="87"/>
      <c r="M9" s="87"/>
      <c r="N9" s="87"/>
    </row>
    <row r="10" spans="2:14" x14ac:dyDescent="0.25">
      <c r="B10" s="32">
        <v>8</v>
      </c>
      <c r="C10" s="32">
        <v>5</v>
      </c>
      <c r="D10" s="32">
        <v>3.4</v>
      </c>
      <c r="E10" s="32">
        <v>1.5</v>
      </c>
      <c r="F10" s="32">
        <v>0.2</v>
      </c>
      <c r="G10" s="28" t="s">
        <v>6</v>
      </c>
      <c r="J10" s="40"/>
      <c r="K10" s="40" t="s">
        <v>0</v>
      </c>
      <c r="L10" s="40" t="s">
        <v>1</v>
      </c>
      <c r="M10" s="40" t="s">
        <v>2</v>
      </c>
      <c r="N10" s="40" t="s">
        <v>3</v>
      </c>
    </row>
    <row r="11" spans="2:14" x14ac:dyDescent="0.25">
      <c r="B11" s="32">
        <v>9</v>
      </c>
      <c r="C11" s="32">
        <v>4.4000000000000004</v>
      </c>
      <c r="D11" s="32">
        <v>2.9</v>
      </c>
      <c r="E11" s="32">
        <v>1.4</v>
      </c>
      <c r="F11" s="32">
        <v>0.2</v>
      </c>
      <c r="G11" s="28" t="s">
        <v>6</v>
      </c>
      <c r="J11" s="41" t="s">
        <v>0</v>
      </c>
      <c r="K11" s="41">
        <v>1</v>
      </c>
      <c r="L11" s="41"/>
      <c r="M11" s="41"/>
      <c r="N11" s="41"/>
    </row>
    <row r="12" spans="2:14" x14ac:dyDescent="0.25">
      <c r="B12" s="32">
        <v>10</v>
      </c>
      <c r="C12" s="32">
        <v>4.9000000000000004</v>
      </c>
      <c r="D12" s="32">
        <v>3.1</v>
      </c>
      <c r="E12" s="32">
        <v>1.5</v>
      </c>
      <c r="F12" s="32">
        <v>0.1</v>
      </c>
      <c r="G12" s="28" t="s">
        <v>6</v>
      </c>
      <c r="J12" s="41" t="s">
        <v>1</v>
      </c>
      <c r="K12" s="41">
        <v>0.52591071728282435</v>
      </c>
      <c r="L12" s="41">
        <v>1</v>
      </c>
      <c r="M12" s="41"/>
      <c r="N12" s="41"/>
    </row>
    <row r="13" spans="2:14" x14ac:dyDescent="0.25">
      <c r="B13" s="32">
        <v>11</v>
      </c>
      <c r="C13" s="32">
        <v>5.4</v>
      </c>
      <c r="D13" s="32">
        <v>3.7</v>
      </c>
      <c r="E13" s="32">
        <v>1.5</v>
      </c>
      <c r="F13" s="32">
        <v>0.2</v>
      </c>
      <c r="G13" s="28" t="s">
        <v>6</v>
      </c>
      <c r="J13" s="41" t="s">
        <v>2</v>
      </c>
      <c r="K13" s="41">
        <v>0.75404895859201604</v>
      </c>
      <c r="L13" s="41">
        <v>0.56052209169298195</v>
      </c>
      <c r="M13" s="41">
        <v>1</v>
      </c>
      <c r="N13" s="41"/>
    </row>
    <row r="14" spans="2:14" x14ac:dyDescent="0.25">
      <c r="B14" s="32">
        <v>12</v>
      </c>
      <c r="C14" s="32">
        <v>4.8</v>
      </c>
      <c r="D14" s="32">
        <v>3.4</v>
      </c>
      <c r="E14" s="32">
        <v>1.6</v>
      </c>
      <c r="F14" s="32">
        <v>0.2</v>
      </c>
      <c r="G14" s="28" t="s">
        <v>6</v>
      </c>
      <c r="J14" s="41" t="s">
        <v>3</v>
      </c>
      <c r="K14" s="41">
        <v>0.54646107159862989</v>
      </c>
      <c r="L14" s="41">
        <v>0.66399872002411153</v>
      </c>
      <c r="M14" s="41">
        <v>0.78666808852281678</v>
      </c>
      <c r="N14" s="41">
        <v>1</v>
      </c>
    </row>
    <row r="15" spans="2:14" x14ac:dyDescent="0.25">
      <c r="B15" s="32">
        <v>13</v>
      </c>
      <c r="C15" s="32">
        <v>4.8</v>
      </c>
      <c r="D15" s="32">
        <v>3</v>
      </c>
      <c r="E15" s="32">
        <v>1.4</v>
      </c>
      <c r="F15" s="32">
        <v>0.1</v>
      </c>
      <c r="G15" s="28" t="s">
        <v>6</v>
      </c>
    </row>
    <row r="16" spans="2:14" x14ac:dyDescent="0.25">
      <c r="B16" s="32">
        <v>14</v>
      </c>
      <c r="C16" s="32">
        <v>4.3</v>
      </c>
      <c r="D16" s="32">
        <v>3</v>
      </c>
      <c r="E16" s="32">
        <v>1.1000000000000001</v>
      </c>
      <c r="F16" s="32">
        <v>0.1</v>
      </c>
      <c r="G16" s="28" t="s">
        <v>6</v>
      </c>
      <c r="J16" s="88" t="s">
        <v>28</v>
      </c>
      <c r="K16" s="89"/>
      <c r="L16" s="89"/>
      <c r="M16" s="89"/>
      <c r="N16" s="89"/>
    </row>
    <row r="17" spans="2:14" x14ac:dyDescent="0.25">
      <c r="B17" s="32">
        <v>15</v>
      </c>
      <c r="C17" s="32">
        <v>5.8</v>
      </c>
      <c r="D17" s="32">
        <v>4</v>
      </c>
      <c r="E17" s="32">
        <v>1.2</v>
      </c>
      <c r="F17" s="32">
        <v>0.2</v>
      </c>
      <c r="G17" s="28" t="s">
        <v>6</v>
      </c>
      <c r="J17" s="40"/>
      <c r="K17" s="40" t="s">
        <v>0</v>
      </c>
      <c r="L17" s="40" t="s">
        <v>1</v>
      </c>
      <c r="M17" s="40" t="s">
        <v>2</v>
      </c>
      <c r="N17" s="40" t="s">
        <v>3</v>
      </c>
    </row>
    <row r="18" spans="2:14" x14ac:dyDescent="0.25">
      <c r="B18" s="32">
        <v>16</v>
      </c>
      <c r="C18" s="32">
        <v>5.7</v>
      </c>
      <c r="D18" s="32">
        <v>4.4000000000000004</v>
      </c>
      <c r="E18" s="32">
        <v>1.5</v>
      </c>
      <c r="F18" s="32">
        <v>0.4</v>
      </c>
      <c r="G18" s="28" t="s">
        <v>6</v>
      </c>
      <c r="J18" s="41" t="s">
        <v>0</v>
      </c>
      <c r="K18" s="41">
        <v>1</v>
      </c>
      <c r="L18" s="41"/>
      <c r="M18" s="41"/>
      <c r="N18" s="41"/>
    </row>
    <row r="19" spans="2:14" x14ac:dyDescent="0.25">
      <c r="B19" s="32">
        <v>17</v>
      </c>
      <c r="C19" s="32">
        <v>5.4</v>
      </c>
      <c r="D19" s="32">
        <v>3.9</v>
      </c>
      <c r="E19" s="32">
        <v>1.3</v>
      </c>
      <c r="F19" s="32">
        <v>0.4</v>
      </c>
      <c r="G19" s="28" t="s">
        <v>6</v>
      </c>
      <c r="J19" s="41" t="s">
        <v>1</v>
      </c>
      <c r="K19" s="41">
        <v>0.45722781639411275</v>
      </c>
      <c r="L19" s="41">
        <v>1</v>
      </c>
      <c r="M19" s="41"/>
      <c r="N19" s="41"/>
    </row>
    <row r="20" spans="2:14" x14ac:dyDescent="0.25">
      <c r="B20" s="32">
        <v>18</v>
      </c>
      <c r="C20" s="32">
        <v>5.0999999999999996</v>
      </c>
      <c r="D20" s="32">
        <v>3.5</v>
      </c>
      <c r="E20" s="32">
        <v>1.4</v>
      </c>
      <c r="F20" s="32">
        <v>0.3</v>
      </c>
      <c r="G20" s="28" t="s">
        <v>6</v>
      </c>
      <c r="J20" s="41" t="s">
        <v>2</v>
      </c>
      <c r="K20" s="41">
        <v>0.86422473293557611</v>
      </c>
      <c r="L20" s="41">
        <v>0.40104457734278509</v>
      </c>
      <c r="M20" s="41">
        <v>1</v>
      </c>
      <c r="N20" s="41"/>
    </row>
    <row r="21" spans="2:14" x14ac:dyDescent="0.25">
      <c r="B21" s="32">
        <v>19</v>
      </c>
      <c r="C21" s="32">
        <v>5.7</v>
      </c>
      <c r="D21" s="32">
        <v>3.8</v>
      </c>
      <c r="E21" s="32">
        <v>1.7</v>
      </c>
      <c r="F21" s="32">
        <v>0.3</v>
      </c>
      <c r="G21" s="28" t="s">
        <v>6</v>
      </c>
      <c r="J21" s="41" t="s">
        <v>3</v>
      </c>
      <c r="K21" s="41">
        <v>0.28110770915731947</v>
      </c>
      <c r="L21" s="41">
        <v>0.53772802626618865</v>
      </c>
      <c r="M21" s="41">
        <v>0.32210821590031824</v>
      </c>
      <c r="N21" s="41">
        <v>1</v>
      </c>
    </row>
    <row r="22" spans="2:14" x14ac:dyDescent="0.25">
      <c r="B22" s="32">
        <v>20</v>
      </c>
      <c r="C22" s="32">
        <v>5.0999999999999996</v>
      </c>
      <c r="D22" s="32">
        <v>3.8</v>
      </c>
      <c r="E22" s="32">
        <v>1.5</v>
      </c>
      <c r="F22" s="32">
        <v>0.3</v>
      </c>
      <c r="G22" s="28" t="s">
        <v>6</v>
      </c>
    </row>
    <row r="23" spans="2:14" x14ac:dyDescent="0.25">
      <c r="B23" s="32">
        <v>21</v>
      </c>
      <c r="C23" s="32">
        <v>5.4</v>
      </c>
      <c r="D23" s="32">
        <v>3.4</v>
      </c>
      <c r="E23" s="32">
        <v>1.7</v>
      </c>
      <c r="F23" s="32">
        <v>0.2</v>
      </c>
      <c r="G23" s="28" t="s">
        <v>6</v>
      </c>
      <c r="J23" s="90" t="s">
        <v>29</v>
      </c>
      <c r="K23" s="91"/>
      <c r="L23" s="91"/>
      <c r="M23" s="91"/>
      <c r="N23" s="92"/>
    </row>
    <row r="24" spans="2:14" x14ac:dyDescent="0.25">
      <c r="B24" s="32">
        <v>22</v>
      </c>
      <c r="C24" s="32">
        <v>5.0999999999999996</v>
      </c>
      <c r="D24" s="32">
        <v>3.7</v>
      </c>
      <c r="E24" s="32">
        <v>1.5</v>
      </c>
      <c r="F24" s="32">
        <v>0.4</v>
      </c>
      <c r="G24" s="28" t="s">
        <v>6</v>
      </c>
      <c r="J24" s="40"/>
      <c r="K24" s="40" t="s">
        <v>0</v>
      </c>
      <c r="L24" s="40" t="s">
        <v>1</v>
      </c>
      <c r="M24" s="40" t="s">
        <v>2</v>
      </c>
      <c r="N24" s="40" t="s">
        <v>3</v>
      </c>
    </row>
    <row r="25" spans="2:14" x14ac:dyDescent="0.25">
      <c r="B25" s="32">
        <v>23</v>
      </c>
      <c r="C25" s="32">
        <v>4.5999999999999996</v>
      </c>
      <c r="D25" s="32">
        <v>3.6</v>
      </c>
      <c r="E25" s="32">
        <v>1</v>
      </c>
      <c r="F25" s="32">
        <v>0.2</v>
      </c>
      <c r="G25" s="28" t="s">
        <v>6</v>
      </c>
      <c r="J25" s="41" t="s">
        <v>0</v>
      </c>
      <c r="K25" s="41">
        <v>1</v>
      </c>
      <c r="L25" s="41"/>
      <c r="M25" s="41"/>
      <c r="N25" s="41"/>
    </row>
    <row r="26" spans="2:14" x14ac:dyDescent="0.25">
      <c r="B26" s="32">
        <v>24</v>
      </c>
      <c r="C26" s="32">
        <v>5.0999999999999996</v>
      </c>
      <c r="D26" s="32">
        <v>3.3</v>
      </c>
      <c r="E26" s="32">
        <v>1.7</v>
      </c>
      <c r="F26" s="32">
        <v>0.5</v>
      </c>
      <c r="G26" s="28" t="s">
        <v>6</v>
      </c>
      <c r="J26" s="41" t="s">
        <v>1</v>
      </c>
      <c r="K26" s="41">
        <v>-0.11756978413300205</v>
      </c>
      <c r="L26" s="41">
        <v>1</v>
      </c>
      <c r="M26" s="41"/>
      <c r="N26" s="41"/>
    </row>
    <row r="27" spans="2:14" x14ac:dyDescent="0.25">
      <c r="B27" s="32">
        <v>25</v>
      </c>
      <c r="C27" s="32">
        <v>4.8</v>
      </c>
      <c r="D27" s="32">
        <v>3.4</v>
      </c>
      <c r="E27" s="32">
        <v>1.9</v>
      </c>
      <c r="F27" s="32">
        <v>0.2</v>
      </c>
      <c r="G27" s="28" t="s">
        <v>6</v>
      </c>
      <c r="J27" s="41" t="s">
        <v>2</v>
      </c>
      <c r="K27" s="41">
        <v>0.87175377588658276</v>
      </c>
      <c r="L27" s="41">
        <v>-0.42844010433054003</v>
      </c>
      <c r="M27" s="41">
        <v>1</v>
      </c>
      <c r="N27" s="41"/>
    </row>
    <row r="28" spans="2:14" x14ac:dyDescent="0.25">
      <c r="B28" s="32">
        <v>26</v>
      </c>
      <c r="C28" s="32">
        <v>5</v>
      </c>
      <c r="D28" s="32">
        <v>3</v>
      </c>
      <c r="E28" s="32">
        <v>1.6</v>
      </c>
      <c r="F28" s="32">
        <v>0.2</v>
      </c>
      <c r="G28" s="28" t="s">
        <v>6</v>
      </c>
      <c r="J28" s="41" t="s">
        <v>3</v>
      </c>
      <c r="K28" s="41">
        <v>0.81794112627157578</v>
      </c>
      <c r="L28" s="41">
        <v>-0.36612593253643949</v>
      </c>
      <c r="M28" s="41">
        <v>0.96286543140279557</v>
      </c>
      <c r="N28" s="41">
        <v>1</v>
      </c>
    </row>
    <row r="29" spans="2:14" x14ac:dyDescent="0.25">
      <c r="B29" s="32">
        <v>27</v>
      </c>
      <c r="C29" s="32">
        <v>5</v>
      </c>
      <c r="D29" s="32">
        <v>3.4</v>
      </c>
      <c r="E29" s="32">
        <v>1.6</v>
      </c>
      <c r="F29" s="32">
        <v>0.4</v>
      </c>
      <c r="G29" s="28" t="s">
        <v>6</v>
      </c>
    </row>
    <row r="30" spans="2:14" x14ac:dyDescent="0.25">
      <c r="B30" s="32">
        <v>28</v>
      </c>
      <c r="C30" s="32">
        <v>5.2</v>
      </c>
      <c r="D30" s="32">
        <v>3.5</v>
      </c>
      <c r="E30" s="32">
        <v>1.5</v>
      </c>
      <c r="F30" s="32">
        <v>0.2</v>
      </c>
      <c r="G30" s="28" t="s">
        <v>6</v>
      </c>
    </row>
    <row r="31" spans="2:14" x14ac:dyDescent="0.25">
      <c r="B31" s="32">
        <v>29</v>
      </c>
      <c r="C31" s="32">
        <v>5.2</v>
      </c>
      <c r="D31" s="32">
        <v>3.4</v>
      </c>
      <c r="E31" s="32">
        <v>1.4</v>
      </c>
      <c r="F31" s="32">
        <v>0.2</v>
      </c>
      <c r="G31" s="28" t="s">
        <v>6</v>
      </c>
    </row>
    <row r="32" spans="2:14" x14ac:dyDescent="0.25">
      <c r="B32" s="32">
        <v>30</v>
      </c>
      <c r="C32" s="32">
        <v>4.7</v>
      </c>
      <c r="D32" s="32">
        <v>3.2</v>
      </c>
      <c r="E32" s="32">
        <v>1.6</v>
      </c>
      <c r="F32" s="32">
        <v>0.2</v>
      </c>
      <c r="G32" s="28" t="s">
        <v>6</v>
      </c>
    </row>
    <row r="33" spans="2:7" x14ac:dyDescent="0.25">
      <c r="B33" s="32">
        <v>31</v>
      </c>
      <c r="C33" s="32">
        <v>4.8</v>
      </c>
      <c r="D33" s="32">
        <v>3.1</v>
      </c>
      <c r="E33" s="32">
        <v>1.6</v>
      </c>
      <c r="F33" s="32">
        <v>0.2</v>
      </c>
      <c r="G33" s="28" t="s">
        <v>6</v>
      </c>
    </row>
    <row r="34" spans="2:7" x14ac:dyDescent="0.25">
      <c r="B34" s="32">
        <v>32</v>
      </c>
      <c r="C34" s="32">
        <v>5.4</v>
      </c>
      <c r="D34" s="32">
        <v>3.4</v>
      </c>
      <c r="E34" s="32">
        <v>1.5</v>
      </c>
      <c r="F34" s="32">
        <v>0.4</v>
      </c>
      <c r="G34" s="28" t="s">
        <v>6</v>
      </c>
    </row>
    <row r="35" spans="2:7" x14ac:dyDescent="0.25">
      <c r="B35" s="32">
        <v>33</v>
      </c>
      <c r="C35" s="32">
        <v>5.2</v>
      </c>
      <c r="D35" s="32">
        <v>4.0999999999999996</v>
      </c>
      <c r="E35" s="32">
        <v>1.5</v>
      </c>
      <c r="F35" s="32">
        <v>0.1</v>
      </c>
      <c r="G35" s="28" t="s">
        <v>6</v>
      </c>
    </row>
    <row r="36" spans="2:7" x14ac:dyDescent="0.25">
      <c r="B36" s="32">
        <v>34</v>
      </c>
      <c r="C36" s="32">
        <v>5.5</v>
      </c>
      <c r="D36" s="32">
        <v>4.2</v>
      </c>
      <c r="E36" s="32">
        <v>1.4</v>
      </c>
      <c r="F36" s="32">
        <v>0.2</v>
      </c>
      <c r="G36" s="28" t="s">
        <v>6</v>
      </c>
    </row>
    <row r="37" spans="2:7" x14ac:dyDescent="0.25">
      <c r="B37" s="32">
        <v>35</v>
      </c>
      <c r="C37" s="32">
        <v>4.9000000000000004</v>
      </c>
      <c r="D37" s="32">
        <v>3.1</v>
      </c>
      <c r="E37" s="32">
        <v>1.5</v>
      </c>
      <c r="F37" s="32">
        <v>0.2</v>
      </c>
      <c r="G37" s="28" t="s">
        <v>6</v>
      </c>
    </row>
    <row r="38" spans="2:7" x14ac:dyDescent="0.25">
      <c r="B38" s="32">
        <v>36</v>
      </c>
      <c r="C38" s="32">
        <v>5</v>
      </c>
      <c r="D38" s="32">
        <v>3.2</v>
      </c>
      <c r="E38" s="32">
        <v>1.2</v>
      </c>
      <c r="F38" s="32">
        <v>0.2</v>
      </c>
      <c r="G38" s="28" t="s">
        <v>6</v>
      </c>
    </row>
    <row r="39" spans="2:7" x14ac:dyDescent="0.25">
      <c r="B39" s="32">
        <v>37</v>
      </c>
      <c r="C39" s="32">
        <v>5.5</v>
      </c>
      <c r="D39" s="32">
        <v>3.5</v>
      </c>
      <c r="E39" s="32">
        <v>1.3</v>
      </c>
      <c r="F39" s="32">
        <v>0.2</v>
      </c>
      <c r="G39" s="28" t="s">
        <v>6</v>
      </c>
    </row>
    <row r="40" spans="2:7" x14ac:dyDescent="0.25">
      <c r="B40" s="32">
        <v>38</v>
      </c>
      <c r="C40" s="32">
        <v>4.9000000000000004</v>
      </c>
      <c r="D40" s="32">
        <v>3.6</v>
      </c>
      <c r="E40" s="32">
        <v>1.4</v>
      </c>
      <c r="F40" s="32">
        <v>0.1</v>
      </c>
      <c r="G40" s="28" t="s">
        <v>6</v>
      </c>
    </row>
    <row r="41" spans="2:7" x14ac:dyDescent="0.25">
      <c r="B41" s="32">
        <v>39</v>
      </c>
      <c r="C41" s="32">
        <v>4.4000000000000004</v>
      </c>
      <c r="D41" s="32">
        <v>3</v>
      </c>
      <c r="E41" s="32">
        <v>1.3</v>
      </c>
      <c r="F41" s="32">
        <v>0.2</v>
      </c>
      <c r="G41" s="28" t="s">
        <v>6</v>
      </c>
    </row>
    <row r="42" spans="2:7" x14ac:dyDescent="0.25">
      <c r="B42" s="32">
        <v>40</v>
      </c>
      <c r="C42" s="32">
        <v>5.0999999999999996</v>
      </c>
      <c r="D42" s="32">
        <v>3.4</v>
      </c>
      <c r="E42" s="32">
        <v>1.5</v>
      </c>
      <c r="F42" s="32">
        <v>0.2</v>
      </c>
      <c r="G42" s="28" t="s">
        <v>6</v>
      </c>
    </row>
    <row r="43" spans="2:7" x14ac:dyDescent="0.25">
      <c r="B43" s="32">
        <v>41</v>
      </c>
      <c r="C43" s="32">
        <v>5</v>
      </c>
      <c r="D43" s="32">
        <v>3.5</v>
      </c>
      <c r="E43" s="32">
        <v>1.3</v>
      </c>
      <c r="F43" s="32">
        <v>0.3</v>
      </c>
      <c r="G43" s="28" t="s">
        <v>6</v>
      </c>
    </row>
    <row r="44" spans="2:7" x14ac:dyDescent="0.25">
      <c r="B44" s="32">
        <v>42</v>
      </c>
      <c r="C44" s="32">
        <v>4.5</v>
      </c>
      <c r="D44" s="32">
        <v>2.2999999999999998</v>
      </c>
      <c r="E44" s="32">
        <v>1.3</v>
      </c>
      <c r="F44" s="32">
        <v>0.3</v>
      </c>
      <c r="G44" s="28" t="s">
        <v>6</v>
      </c>
    </row>
    <row r="45" spans="2:7" x14ac:dyDescent="0.25">
      <c r="B45" s="32">
        <v>43</v>
      </c>
      <c r="C45" s="32">
        <v>4.4000000000000004</v>
      </c>
      <c r="D45" s="32">
        <v>3.2</v>
      </c>
      <c r="E45" s="32">
        <v>1.3</v>
      </c>
      <c r="F45" s="32">
        <v>0.2</v>
      </c>
      <c r="G45" s="28" t="s">
        <v>6</v>
      </c>
    </row>
    <row r="46" spans="2:7" x14ac:dyDescent="0.25">
      <c r="B46" s="32">
        <v>44</v>
      </c>
      <c r="C46" s="32">
        <v>5</v>
      </c>
      <c r="D46" s="32">
        <v>3.5</v>
      </c>
      <c r="E46" s="32">
        <v>1.6</v>
      </c>
      <c r="F46" s="32">
        <v>0.6</v>
      </c>
      <c r="G46" s="28" t="s">
        <v>6</v>
      </c>
    </row>
    <row r="47" spans="2:7" x14ac:dyDescent="0.25">
      <c r="B47" s="32">
        <v>45</v>
      </c>
      <c r="C47" s="32">
        <v>5.0999999999999996</v>
      </c>
      <c r="D47" s="32">
        <v>3.8</v>
      </c>
      <c r="E47" s="32">
        <v>1.9</v>
      </c>
      <c r="F47" s="32">
        <v>0.4</v>
      </c>
      <c r="G47" s="28" t="s">
        <v>6</v>
      </c>
    </row>
    <row r="48" spans="2:7" x14ac:dyDescent="0.25">
      <c r="B48" s="32">
        <v>46</v>
      </c>
      <c r="C48" s="32">
        <v>4.8</v>
      </c>
      <c r="D48" s="32">
        <v>3</v>
      </c>
      <c r="E48" s="32">
        <v>1.4</v>
      </c>
      <c r="F48" s="32">
        <v>0.3</v>
      </c>
      <c r="G48" s="28" t="s">
        <v>6</v>
      </c>
    </row>
    <row r="49" spans="2:7" x14ac:dyDescent="0.25">
      <c r="B49" s="32">
        <v>47</v>
      </c>
      <c r="C49" s="32">
        <v>5.0999999999999996</v>
      </c>
      <c r="D49" s="32">
        <v>3.8</v>
      </c>
      <c r="E49" s="32">
        <v>1.6</v>
      </c>
      <c r="F49" s="32">
        <v>0.2</v>
      </c>
      <c r="G49" s="28" t="s">
        <v>6</v>
      </c>
    </row>
    <row r="50" spans="2:7" x14ac:dyDescent="0.25">
      <c r="B50" s="32">
        <v>48</v>
      </c>
      <c r="C50" s="32">
        <v>4.5999999999999996</v>
      </c>
      <c r="D50" s="32">
        <v>3.2</v>
      </c>
      <c r="E50" s="32">
        <v>1.4</v>
      </c>
      <c r="F50" s="32">
        <v>0.2</v>
      </c>
      <c r="G50" s="28" t="s">
        <v>6</v>
      </c>
    </row>
    <row r="51" spans="2:7" x14ac:dyDescent="0.25">
      <c r="B51" s="32">
        <v>49</v>
      </c>
      <c r="C51" s="32">
        <v>5.3</v>
      </c>
      <c r="D51" s="32">
        <v>3.7</v>
      </c>
      <c r="E51" s="32">
        <v>1.5</v>
      </c>
      <c r="F51" s="32">
        <v>0.2</v>
      </c>
      <c r="G51" s="28" t="s">
        <v>6</v>
      </c>
    </row>
    <row r="52" spans="2:7" x14ac:dyDescent="0.25">
      <c r="B52" s="32">
        <v>50</v>
      </c>
      <c r="C52" s="32">
        <v>5</v>
      </c>
      <c r="D52" s="32">
        <v>3.3</v>
      </c>
      <c r="E52" s="32">
        <v>1.4</v>
      </c>
      <c r="F52" s="32">
        <v>0.2</v>
      </c>
      <c r="G52" s="28" t="s">
        <v>6</v>
      </c>
    </row>
    <row r="53" spans="2:7" x14ac:dyDescent="0.25">
      <c r="B53" s="30">
        <v>51</v>
      </c>
      <c r="C53" s="30">
        <v>7</v>
      </c>
      <c r="D53" s="30">
        <v>3.2</v>
      </c>
      <c r="E53" s="30">
        <v>4.7</v>
      </c>
      <c r="F53" s="30">
        <v>1.4</v>
      </c>
      <c r="G53" s="29" t="s">
        <v>12</v>
      </c>
    </row>
    <row r="54" spans="2:7" x14ac:dyDescent="0.25">
      <c r="B54" s="30">
        <v>52</v>
      </c>
      <c r="C54" s="30">
        <v>6.4</v>
      </c>
      <c r="D54" s="30">
        <v>3.2</v>
      </c>
      <c r="E54" s="30">
        <v>4.5</v>
      </c>
      <c r="F54" s="30">
        <v>1.5</v>
      </c>
      <c r="G54" s="29" t="s">
        <v>12</v>
      </c>
    </row>
    <row r="55" spans="2:7" x14ac:dyDescent="0.25">
      <c r="B55" s="30">
        <v>53</v>
      </c>
      <c r="C55" s="30">
        <v>6.9</v>
      </c>
      <c r="D55" s="30">
        <v>3.1</v>
      </c>
      <c r="E55" s="30">
        <v>4.9000000000000004</v>
      </c>
      <c r="F55" s="30">
        <v>1.5</v>
      </c>
      <c r="G55" s="29" t="s">
        <v>12</v>
      </c>
    </row>
    <row r="56" spans="2:7" x14ac:dyDescent="0.25">
      <c r="B56" s="30">
        <v>54</v>
      </c>
      <c r="C56" s="30">
        <v>5.5</v>
      </c>
      <c r="D56" s="30">
        <v>2.2999999999999998</v>
      </c>
      <c r="E56" s="30">
        <v>4</v>
      </c>
      <c r="F56" s="30">
        <v>1.3</v>
      </c>
      <c r="G56" s="29" t="s">
        <v>12</v>
      </c>
    </row>
    <row r="57" spans="2:7" x14ac:dyDescent="0.25">
      <c r="B57" s="30">
        <v>55</v>
      </c>
      <c r="C57" s="30">
        <v>6.5</v>
      </c>
      <c r="D57" s="30">
        <v>2.8</v>
      </c>
      <c r="E57" s="30">
        <v>4.5999999999999996</v>
      </c>
      <c r="F57" s="30">
        <v>1.5</v>
      </c>
      <c r="G57" s="29" t="s">
        <v>12</v>
      </c>
    </row>
    <row r="58" spans="2:7" x14ac:dyDescent="0.25">
      <c r="B58" s="30">
        <v>56</v>
      </c>
      <c r="C58" s="30">
        <v>5.7</v>
      </c>
      <c r="D58" s="30">
        <v>2.8</v>
      </c>
      <c r="E58" s="30">
        <v>4.5</v>
      </c>
      <c r="F58" s="30">
        <v>1.3</v>
      </c>
      <c r="G58" s="29" t="s">
        <v>12</v>
      </c>
    </row>
    <row r="59" spans="2:7" x14ac:dyDescent="0.25">
      <c r="B59" s="30">
        <v>57</v>
      </c>
      <c r="C59" s="30">
        <v>6.3</v>
      </c>
      <c r="D59" s="30">
        <v>3.3</v>
      </c>
      <c r="E59" s="30">
        <v>4.7</v>
      </c>
      <c r="F59" s="30">
        <v>1.6</v>
      </c>
      <c r="G59" s="29" t="s">
        <v>12</v>
      </c>
    </row>
    <row r="60" spans="2:7" x14ac:dyDescent="0.25">
      <c r="B60" s="30">
        <v>58</v>
      </c>
      <c r="C60" s="30">
        <v>4.9000000000000004</v>
      </c>
      <c r="D60" s="30">
        <v>2.4</v>
      </c>
      <c r="E60" s="30">
        <v>3.3</v>
      </c>
      <c r="F60" s="30">
        <v>1</v>
      </c>
      <c r="G60" s="29" t="s">
        <v>12</v>
      </c>
    </row>
    <row r="61" spans="2:7" x14ac:dyDescent="0.25">
      <c r="B61" s="30">
        <v>59</v>
      </c>
      <c r="C61" s="30">
        <v>6.6</v>
      </c>
      <c r="D61" s="30">
        <v>2.9</v>
      </c>
      <c r="E61" s="30">
        <v>4.5999999999999996</v>
      </c>
      <c r="F61" s="30">
        <v>1.3</v>
      </c>
      <c r="G61" s="29" t="s">
        <v>12</v>
      </c>
    </row>
    <row r="62" spans="2:7" x14ac:dyDescent="0.25">
      <c r="B62" s="30">
        <v>60</v>
      </c>
      <c r="C62" s="30">
        <v>5.2</v>
      </c>
      <c r="D62" s="30">
        <v>2.7</v>
      </c>
      <c r="E62" s="30">
        <v>3.9</v>
      </c>
      <c r="F62" s="30">
        <v>1.4</v>
      </c>
      <c r="G62" s="29" t="s">
        <v>12</v>
      </c>
    </row>
    <row r="63" spans="2:7" x14ac:dyDescent="0.25">
      <c r="B63" s="30">
        <v>61</v>
      </c>
      <c r="C63" s="30">
        <v>5</v>
      </c>
      <c r="D63" s="30">
        <v>2</v>
      </c>
      <c r="E63" s="30">
        <v>3.5</v>
      </c>
      <c r="F63" s="30">
        <v>1</v>
      </c>
      <c r="G63" s="29" t="s">
        <v>12</v>
      </c>
    </row>
    <row r="64" spans="2:7" x14ac:dyDescent="0.25">
      <c r="B64" s="30">
        <v>62</v>
      </c>
      <c r="C64" s="30">
        <v>5.9</v>
      </c>
      <c r="D64" s="30">
        <v>3</v>
      </c>
      <c r="E64" s="30">
        <v>4.2</v>
      </c>
      <c r="F64" s="30">
        <v>1.5</v>
      </c>
      <c r="G64" s="29" t="s">
        <v>12</v>
      </c>
    </row>
    <row r="65" spans="2:7" x14ac:dyDescent="0.25">
      <c r="B65" s="30">
        <v>63</v>
      </c>
      <c r="C65" s="30">
        <v>6</v>
      </c>
      <c r="D65" s="30">
        <v>2.2000000000000002</v>
      </c>
      <c r="E65" s="30">
        <v>4</v>
      </c>
      <c r="F65" s="30">
        <v>1</v>
      </c>
      <c r="G65" s="29" t="s">
        <v>12</v>
      </c>
    </row>
    <row r="66" spans="2:7" x14ac:dyDescent="0.25">
      <c r="B66" s="30">
        <v>64</v>
      </c>
      <c r="C66" s="30">
        <v>6.1</v>
      </c>
      <c r="D66" s="30">
        <v>2.9</v>
      </c>
      <c r="E66" s="30">
        <v>4.7</v>
      </c>
      <c r="F66" s="30">
        <v>1.4</v>
      </c>
      <c r="G66" s="29" t="s">
        <v>12</v>
      </c>
    </row>
    <row r="67" spans="2:7" x14ac:dyDescent="0.25">
      <c r="B67" s="30">
        <v>65</v>
      </c>
      <c r="C67" s="30">
        <v>5.6</v>
      </c>
      <c r="D67" s="30">
        <v>2.9</v>
      </c>
      <c r="E67" s="30">
        <v>3.6</v>
      </c>
      <c r="F67" s="30">
        <v>1.3</v>
      </c>
      <c r="G67" s="29" t="s">
        <v>12</v>
      </c>
    </row>
    <row r="68" spans="2:7" x14ac:dyDescent="0.25">
      <c r="B68" s="30">
        <v>66</v>
      </c>
      <c r="C68" s="30">
        <v>6.7</v>
      </c>
      <c r="D68" s="30">
        <v>3.1</v>
      </c>
      <c r="E68" s="30">
        <v>4.4000000000000004</v>
      </c>
      <c r="F68" s="30">
        <v>1.4</v>
      </c>
      <c r="G68" s="29" t="s">
        <v>12</v>
      </c>
    </row>
    <row r="69" spans="2:7" x14ac:dyDescent="0.25">
      <c r="B69" s="30">
        <v>67</v>
      </c>
      <c r="C69" s="30">
        <v>5.6</v>
      </c>
      <c r="D69" s="30">
        <v>3</v>
      </c>
      <c r="E69" s="30">
        <v>4.5</v>
      </c>
      <c r="F69" s="30">
        <v>1.5</v>
      </c>
      <c r="G69" s="29" t="s">
        <v>12</v>
      </c>
    </row>
    <row r="70" spans="2:7" x14ac:dyDescent="0.25">
      <c r="B70" s="30">
        <v>68</v>
      </c>
      <c r="C70" s="30">
        <v>5.8</v>
      </c>
      <c r="D70" s="30">
        <v>2.7</v>
      </c>
      <c r="E70" s="30">
        <v>4.0999999999999996</v>
      </c>
      <c r="F70" s="30">
        <v>1</v>
      </c>
      <c r="G70" s="29" t="s">
        <v>12</v>
      </c>
    </row>
    <row r="71" spans="2:7" x14ac:dyDescent="0.25">
      <c r="B71" s="30">
        <v>69</v>
      </c>
      <c r="C71" s="30">
        <v>6.2</v>
      </c>
      <c r="D71" s="30">
        <v>2.2000000000000002</v>
      </c>
      <c r="E71" s="30">
        <v>4.5</v>
      </c>
      <c r="F71" s="30">
        <v>1.5</v>
      </c>
      <c r="G71" s="29" t="s">
        <v>12</v>
      </c>
    </row>
    <row r="72" spans="2:7" x14ac:dyDescent="0.25">
      <c r="B72" s="30">
        <v>70</v>
      </c>
      <c r="C72" s="30">
        <v>5.6</v>
      </c>
      <c r="D72" s="30">
        <v>2.5</v>
      </c>
      <c r="E72" s="30">
        <v>3.9</v>
      </c>
      <c r="F72" s="30">
        <v>1.1000000000000001</v>
      </c>
      <c r="G72" s="29" t="s">
        <v>12</v>
      </c>
    </row>
    <row r="73" spans="2:7" x14ac:dyDescent="0.25">
      <c r="B73" s="30">
        <v>71</v>
      </c>
      <c r="C73" s="30">
        <v>5.9</v>
      </c>
      <c r="D73" s="30">
        <v>3.2</v>
      </c>
      <c r="E73" s="30">
        <v>4.8</v>
      </c>
      <c r="F73" s="30">
        <v>1.8</v>
      </c>
      <c r="G73" s="29" t="s">
        <v>12</v>
      </c>
    </row>
    <row r="74" spans="2:7" x14ac:dyDescent="0.25">
      <c r="B74" s="30">
        <v>72</v>
      </c>
      <c r="C74" s="30">
        <v>6.1</v>
      </c>
      <c r="D74" s="30">
        <v>2.8</v>
      </c>
      <c r="E74" s="30">
        <v>4</v>
      </c>
      <c r="F74" s="30">
        <v>1.3</v>
      </c>
      <c r="G74" s="29" t="s">
        <v>12</v>
      </c>
    </row>
    <row r="75" spans="2:7" x14ac:dyDescent="0.25">
      <c r="B75" s="30">
        <v>73</v>
      </c>
      <c r="C75" s="30">
        <v>6.3</v>
      </c>
      <c r="D75" s="30">
        <v>2.5</v>
      </c>
      <c r="E75" s="30">
        <v>4.9000000000000004</v>
      </c>
      <c r="F75" s="30">
        <v>1.5</v>
      </c>
      <c r="G75" s="29" t="s">
        <v>12</v>
      </c>
    </row>
    <row r="76" spans="2:7" x14ac:dyDescent="0.25">
      <c r="B76" s="30">
        <v>74</v>
      </c>
      <c r="C76" s="30">
        <v>6.1</v>
      </c>
      <c r="D76" s="30">
        <v>2.8</v>
      </c>
      <c r="E76" s="30">
        <v>4.7</v>
      </c>
      <c r="F76" s="30">
        <v>1.2</v>
      </c>
      <c r="G76" s="29" t="s">
        <v>12</v>
      </c>
    </row>
    <row r="77" spans="2:7" x14ac:dyDescent="0.25">
      <c r="B77" s="30">
        <v>75</v>
      </c>
      <c r="C77" s="30">
        <v>6.4</v>
      </c>
      <c r="D77" s="30">
        <v>2.9</v>
      </c>
      <c r="E77" s="30">
        <v>4.3</v>
      </c>
      <c r="F77" s="30">
        <v>1.3</v>
      </c>
      <c r="G77" s="29" t="s">
        <v>12</v>
      </c>
    </row>
    <row r="78" spans="2:7" x14ac:dyDescent="0.25">
      <c r="B78" s="30">
        <v>76</v>
      </c>
      <c r="C78" s="30">
        <v>6.6</v>
      </c>
      <c r="D78" s="30">
        <v>3</v>
      </c>
      <c r="E78" s="30">
        <v>4.4000000000000004</v>
      </c>
      <c r="F78" s="30">
        <v>1.4</v>
      </c>
      <c r="G78" s="29" t="s">
        <v>12</v>
      </c>
    </row>
    <row r="79" spans="2:7" x14ac:dyDescent="0.25">
      <c r="B79" s="30">
        <v>77</v>
      </c>
      <c r="C79" s="30">
        <v>6.8</v>
      </c>
      <c r="D79" s="30">
        <v>2.8</v>
      </c>
      <c r="E79" s="30">
        <v>4.8</v>
      </c>
      <c r="F79" s="30">
        <v>1.4</v>
      </c>
      <c r="G79" s="29" t="s">
        <v>12</v>
      </c>
    </row>
    <row r="80" spans="2:7" x14ac:dyDescent="0.25">
      <c r="B80" s="30">
        <v>78</v>
      </c>
      <c r="C80" s="30">
        <v>6.7</v>
      </c>
      <c r="D80" s="30">
        <v>3</v>
      </c>
      <c r="E80" s="30">
        <v>5</v>
      </c>
      <c r="F80" s="30">
        <v>1.7</v>
      </c>
      <c r="G80" s="29" t="s">
        <v>12</v>
      </c>
    </row>
    <row r="81" spans="2:7" x14ac:dyDescent="0.25">
      <c r="B81" s="30">
        <v>79</v>
      </c>
      <c r="C81" s="30">
        <v>6</v>
      </c>
      <c r="D81" s="30">
        <v>2.9</v>
      </c>
      <c r="E81" s="30">
        <v>4.5</v>
      </c>
      <c r="F81" s="30">
        <v>1.5</v>
      </c>
      <c r="G81" s="29" t="s">
        <v>12</v>
      </c>
    </row>
    <row r="82" spans="2:7" x14ac:dyDescent="0.25">
      <c r="B82" s="30">
        <v>80</v>
      </c>
      <c r="C82" s="30">
        <v>5.7</v>
      </c>
      <c r="D82" s="30">
        <v>2.6</v>
      </c>
      <c r="E82" s="30">
        <v>3.5</v>
      </c>
      <c r="F82" s="30">
        <v>1</v>
      </c>
      <c r="G82" s="29" t="s">
        <v>12</v>
      </c>
    </row>
    <row r="83" spans="2:7" x14ac:dyDescent="0.25">
      <c r="B83" s="30">
        <v>81</v>
      </c>
      <c r="C83" s="30">
        <v>5.5</v>
      </c>
      <c r="D83" s="30">
        <v>2.4</v>
      </c>
      <c r="E83" s="30">
        <v>3.8</v>
      </c>
      <c r="F83" s="30">
        <v>1.1000000000000001</v>
      </c>
      <c r="G83" s="29" t="s">
        <v>12</v>
      </c>
    </row>
    <row r="84" spans="2:7" x14ac:dyDescent="0.25">
      <c r="B84" s="30">
        <v>82</v>
      </c>
      <c r="C84" s="30">
        <v>5.5</v>
      </c>
      <c r="D84" s="30">
        <v>2.4</v>
      </c>
      <c r="E84" s="30">
        <v>3.7</v>
      </c>
      <c r="F84" s="30">
        <v>1</v>
      </c>
      <c r="G84" s="29" t="s">
        <v>12</v>
      </c>
    </row>
    <row r="85" spans="2:7" x14ac:dyDescent="0.25">
      <c r="B85" s="30">
        <v>83</v>
      </c>
      <c r="C85" s="30">
        <v>5.8</v>
      </c>
      <c r="D85" s="30">
        <v>2.7</v>
      </c>
      <c r="E85" s="30">
        <v>3.9</v>
      </c>
      <c r="F85" s="30">
        <v>1.2</v>
      </c>
      <c r="G85" s="29" t="s">
        <v>12</v>
      </c>
    </row>
    <row r="86" spans="2:7" x14ac:dyDescent="0.25">
      <c r="B86" s="30">
        <v>84</v>
      </c>
      <c r="C86" s="30">
        <v>6</v>
      </c>
      <c r="D86" s="30">
        <v>2.7</v>
      </c>
      <c r="E86" s="30">
        <v>5.0999999999999996</v>
      </c>
      <c r="F86" s="30">
        <v>1.6</v>
      </c>
      <c r="G86" s="29" t="s">
        <v>12</v>
      </c>
    </row>
    <row r="87" spans="2:7" x14ac:dyDescent="0.25">
      <c r="B87" s="30">
        <v>85</v>
      </c>
      <c r="C87" s="30">
        <v>5.4</v>
      </c>
      <c r="D87" s="30">
        <v>3</v>
      </c>
      <c r="E87" s="30">
        <v>4.5</v>
      </c>
      <c r="F87" s="30">
        <v>1.5</v>
      </c>
      <c r="G87" s="29" t="s">
        <v>12</v>
      </c>
    </row>
    <row r="88" spans="2:7" x14ac:dyDescent="0.25">
      <c r="B88" s="30">
        <v>86</v>
      </c>
      <c r="C88" s="30">
        <v>6</v>
      </c>
      <c r="D88" s="30">
        <v>3.4</v>
      </c>
      <c r="E88" s="30">
        <v>4.5</v>
      </c>
      <c r="F88" s="30">
        <v>1.6</v>
      </c>
      <c r="G88" s="29" t="s">
        <v>12</v>
      </c>
    </row>
    <row r="89" spans="2:7" x14ac:dyDescent="0.25">
      <c r="B89" s="30">
        <v>87</v>
      </c>
      <c r="C89" s="30">
        <v>6.7</v>
      </c>
      <c r="D89" s="30">
        <v>3.1</v>
      </c>
      <c r="E89" s="30">
        <v>4.7</v>
      </c>
      <c r="F89" s="30">
        <v>1.5</v>
      </c>
      <c r="G89" s="29" t="s">
        <v>12</v>
      </c>
    </row>
    <row r="90" spans="2:7" x14ac:dyDescent="0.25">
      <c r="B90" s="30">
        <v>88</v>
      </c>
      <c r="C90" s="30">
        <v>6.3</v>
      </c>
      <c r="D90" s="30">
        <v>2.2999999999999998</v>
      </c>
      <c r="E90" s="30">
        <v>4.4000000000000004</v>
      </c>
      <c r="F90" s="30">
        <v>1.3</v>
      </c>
      <c r="G90" s="29" t="s">
        <v>12</v>
      </c>
    </row>
    <row r="91" spans="2:7" x14ac:dyDescent="0.25">
      <c r="B91" s="30">
        <v>89</v>
      </c>
      <c r="C91" s="30">
        <v>5.6</v>
      </c>
      <c r="D91" s="30">
        <v>3</v>
      </c>
      <c r="E91" s="30">
        <v>4.0999999999999996</v>
      </c>
      <c r="F91" s="30">
        <v>1.3</v>
      </c>
      <c r="G91" s="29" t="s">
        <v>12</v>
      </c>
    </row>
    <row r="92" spans="2:7" x14ac:dyDescent="0.25">
      <c r="B92" s="30">
        <v>90</v>
      </c>
      <c r="C92" s="30">
        <v>5.5</v>
      </c>
      <c r="D92" s="30">
        <v>2.5</v>
      </c>
      <c r="E92" s="30">
        <v>4</v>
      </c>
      <c r="F92" s="30">
        <v>1.3</v>
      </c>
      <c r="G92" s="29" t="s">
        <v>12</v>
      </c>
    </row>
    <row r="93" spans="2:7" x14ac:dyDescent="0.25">
      <c r="B93" s="30">
        <v>91</v>
      </c>
      <c r="C93" s="30">
        <v>5.5</v>
      </c>
      <c r="D93" s="30">
        <v>2.6</v>
      </c>
      <c r="E93" s="30">
        <v>4.4000000000000004</v>
      </c>
      <c r="F93" s="30">
        <v>1.2</v>
      </c>
      <c r="G93" s="29" t="s">
        <v>12</v>
      </c>
    </row>
    <row r="94" spans="2:7" x14ac:dyDescent="0.25">
      <c r="B94" s="30">
        <v>92</v>
      </c>
      <c r="C94" s="30">
        <v>6.1</v>
      </c>
      <c r="D94" s="30">
        <v>3</v>
      </c>
      <c r="E94" s="30">
        <v>4.5999999999999996</v>
      </c>
      <c r="F94" s="30">
        <v>1.4</v>
      </c>
      <c r="G94" s="29" t="s">
        <v>12</v>
      </c>
    </row>
    <row r="95" spans="2:7" x14ac:dyDescent="0.25">
      <c r="B95" s="30">
        <v>93</v>
      </c>
      <c r="C95" s="30">
        <v>5.8</v>
      </c>
      <c r="D95" s="30">
        <v>2.6</v>
      </c>
      <c r="E95" s="30">
        <v>4</v>
      </c>
      <c r="F95" s="30">
        <v>1.2</v>
      </c>
      <c r="G95" s="29" t="s">
        <v>12</v>
      </c>
    </row>
    <row r="96" spans="2:7" x14ac:dyDescent="0.25">
      <c r="B96" s="30">
        <v>94</v>
      </c>
      <c r="C96" s="30">
        <v>5</v>
      </c>
      <c r="D96" s="30">
        <v>2.2999999999999998</v>
      </c>
      <c r="E96" s="30">
        <v>3.3</v>
      </c>
      <c r="F96" s="30">
        <v>1</v>
      </c>
      <c r="G96" s="29" t="s">
        <v>12</v>
      </c>
    </row>
    <row r="97" spans="2:7" x14ac:dyDescent="0.25">
      <c r="B97" s="30">
        <v>95</v>
      </c>
      <c r="C97" s="30">
        <v>5.6</v>
      </c>
      <c r="D97" s="30">
        <v>2.7</v>
      </c>
      <c r="E97" s="30">
        <v>4.2</v>
      </c>
      <c r="F97" s="30">
        <v>1.3</v>
      </c>
      <c r="G97" s="29" t="s">
        <v>12</v>
      </c>
    </row>
    <row r="98" spans="2:7" x14ac:dyDescent="0.25">
      <c r="B98" s="30">
        <v>96</v>
      </c>
      <c r="C98" s="30">
        <v>5.7</v>
      </c>
      <c r="D98" s="30">
        <v>3</v>
      </c>
      <c r="E98" s="30">
        <v>4.2</v>
      </c>
      <c r="F98" s="30">
        <v>1.2</v>
      </c>
      <c r="G98" s="29" t="s">
        <v>12</v>
      </c>
    </row>
    <row r="99" spans="2:7" x14ac:dyDescent="0.25">
      <c r="B99" s="30">
        <v>97</v>
      </c>
      <c r="C99" s="30">
        <v>5.7</v>
      </c>
      <c r="D99" s="30">
        <v>2.9</v>
      </c>
      <c r="E99" s="30">
        <v>4.2</v>
      </c>
      <c r="F99" s="30">
        <v>1.3</v>
      </c>
      <c r="G99" s="29" t="s">
        <v>12</v>
      </c>
    </row>
    <row r="100" spans="2:7" x14ac:dyDescent="0.25">
      <c r="B100" s="30">
        <v>98</v>
      </c>
      <c r="C100" s="30">
        <v>6.2</v>
      </c>
      <c r="D100" s="30">
        <v>2.9</v>
      </c>
      <c r="E100" s="30">
        <v>4.3</v>
      </c>
      <c r="F100" s="30">
        <v>1.3</v>
      </c>
      <c r="G100" s="29" t="s">
        <v>12</v>
      </c>
    </row>
    <row r="101" spans="2:7" x14ac:dyDescent="0.25">
      <c r="B101" s="30">
        <v>99</v>
      </c>
      <c r="C101" s="30">
        <v>5.0999999999999996</v>
      </c>
      <c r="D101" s="30">
        <v>2.5</v>
      </c>
      <c r="E101" s="30">
        <v>3</v>
      </c>
      <c r="F101" s="30">
        <v>1.1000000000000001</v>
      </c>
      <c r="G101" s="29" t="s">
        <v>12</v>
      </c>
    </row>
    <row r="102" spans="2:7" x14ac:dyDescent="0.25">
      <c r="B102" s="30">
        <v>100</v>
      </c>
      <c r="C102" s="30">
        <v>5.7</v>
      </c>
      <c r="D102" s="30">
        <v>2.8</v>
      </c>
      <c r="E102" s="30">
        <v>4.0999999999999996</v>
      </c>
      <c r="F102" s="30">
        <v>1.3</v>
      </c>
      <c r="G102" s="29" t="s">
        <v>12</v>
      </c>
    </row>
    <row r="103" spans="2:7" x14ac:dyDescent="0.25">
      <c r="B103" s="35">
        <v>101</v>
      </c>
      <c r="C103" s="35">
        <v>6.3</v>
      </c>
      <c r="D103" s="35">
        <v>3.3</v>
      </c>
      <c r="E103" s="35">
        <v>6</v>
      </c>
      <c r="F103" s="35">
        <v>2.5</v>
      </c>
      <c r="G103" s="33" t="s">
        <v>13</v>
      </c>
    </row>
    <row r="104" spans="2:7" x14ac:dyDescent="0.25">
      <c r="B104" s="35">
        <v>102</v>
      </c>
      <c r="C104" s="35">
        <v>5.8</v>
      </c>
      <c r="D104" s="35">
        <v>2.7</v>
      </c>
      <c r="E104" s="35">
        <v>5.0999999999999996</v>
      </c>
      <c r="F104" s="35">
        <v>1.9</v>
      </c>
      <c r="G104" s="33" t="s">
        <v>13</v>
      </c>
    </row>
    <row r="105" spans="2:7" x14ac:dyDescent="0.25">
      <c r="B105" s="35">
        <v>103</v>
      </c>
      <c r="C105" s="35">
        <v>7.1</v>
      </c>
      <c r="D105" s="35">
        <v>3</v>
      </c>
      <c r="E105" s="35">
        <v>5.9</v>
      </c>
      <c r="F105" s="35">
        <v>2.1</v>
      </c>
      <c r="G105" s="33" t="s">
        <v>13</v>
      </c>
    </row>
    <row r="106" spans="2:7" x14ac:dyDescent="0.25">
      <c r="B106" s="35">
        <v>104</v>
      </c>
      <c r="C106" s="35">
        <v>6.3</v>
      </c>
      <c r="D106" s="35">
        <v>2.9</v>
      </c>
      <c r="E106" s="35">
        <v>5.6</v>
      </c>
      <c r="F106" s="35">
        <v>1.8</v>
      </c>
      <c r="G106" s="33" t="s">
        <v>13</v>
      </c>
    </row>
    <row r="107" spans="2:7" x14ac:dyDescent="0.25">
      <c r="B107" s="35">
        <v>105</v>
      </c>
      <c r="C107" s="35">
        <v>6.5</v>
      </c>
      <c r="D107" s="35">
        <v>3</v>
      </c>
      <c r="E107" s="35">
        <v>5.8</v>
      </c>
      <c r="F107" s="35">
        <v>2.2000000000000002</v>
      </c>
      <c r="G107" s="33" t="s">
        <v>13</v>
      </c>
    </row>
    <row r="108" spans="2:7" x14ac:dyDescent="0.25">
      <c r="B108" s="35">
        <v>106</v>
      </c>
      <c r="C108" s="35">
        <v>7.6</v>
      </c>
      <c r="D108" s="35">
        <v>3</v>
      </c>
      <c r="E108" s="35">
        <v>6.6</v>
      </c>
      <c r="F108" s="35">
        <v>2.1</v>
      </c>
      <c r="G108" s="33" t="s">
        <v>13</v>
      </c>
    </row>
    <row r="109" spans="2:7" x14ac:dyDescent="0.25">
      <c r="B109" s="35">
        <v>107</v>
      </c>
      <c r="C109" s="35">
        <v>4.9000000000000004</v>
      </c>
      <c r="D109" s="35">
        <v>2.5</v>
      </c>
      <c r="E109" s="35">
        <v>4.5</v>
      </c>
      <c r="F109" s="35">
        <v>1.7</v>
      </c>
      <c r="G109" s="33" t="s">
        <v>13</v>
      </c>
    </row>
    <row r="110" spans="2:7" x14ac:dyDescent="0.25">
      <c r="B110" s="35">
        <v>108</v>
      </c>
      <c r="C110" s="35">
        <v>7.3</v>
      </c>
      <c r="D110" s="35">
        <v>2.9</v>
      </c>
      <c r="E110" s="35">
        <v>6.3</v>
      </c>
      <c r="F110" s="35">
        <v>1.8</v>
      </c>
      <c r="G110" s="33" t="s">
        <v>13</v>
      </c>
    </row>
    <row r="111" spans="2:7" x14ac:dyDescent="0.25">
      <c r="B111" s="35">
        <v>109</v>
      </c>
      <c r="C111" s="35">
        <v>6.7</v>
      </c>
      <c r="D111" s="35">
        <v>2.5</v>
      </c>
      <c r="E111" s="35">
        <v>5.8</v>
      </c>
      <c r="F111" s="35">
        <v>1.8</v>
      </c>
      <c r="G111" s="33" t="s">
        <v>13</v>
      </c>
    </row>
    <row r="112" spans="2:7" x14ac:dyDescent="0.25">
      <c r="B112" s="35">
        <v>110</v>
      </c>
      <c r="C112" s="35">
        <v>7.2</v>
      </c>
      <c r="D112" s="35">
        <v>3.6</v>
      </c>
      <c r="E112" s="35">
        <v>6.1</v>
      </c>
      <c r="F112" s="35">
        <v>2.5</v>
      </c>
      <c r="G112" s="33" t="s">
        <v>13</v>
      </c>
    </row>
    <row r="113" spans="2:7" x14ac:dyDescent="0.25">
      <c r="B113" s="35">
        <v>111</v>
      </c>
      <c r="C113" s="35">
        <v>6.5</v>
      </c>
      <c r="D113" s="35">
        <v>3.2</v>
      </c>
      <c r="E113" s="35">
        <v>5.0999999999999996</v>
      </c>
      <c r="F113" s="35">
        <v>2</v>
      </c>
      <c r="G113" s="33" t="s">
        <v>13</v>
      </c>
    </row>
    <row r="114" spans="2:7" x14ac:dyDescent="0.25">
      <c r="B114" s="35">
        <v>112</v>
      </c>
      <c r="C114" s="35">
        <v>6.4</v>
      </c>
      <c r="D114" s="35">
        <v>2.7</v>
      </c>
      <c r="E114" s="35">
        <v>5.3</v>
      </c>
      <c r="F114" s="35">
        <v>1.9</v>
      </c>
      <c r="G114" s="33" t="s">
        <v>13</v>
      </c>
    </row>
    <row r="115" spans="2:7" x14ac:dyDescent="0.25">
      <c r="B115" s="35">
        <v>113</v>
      </c>
      <c r="C115" s="35">
        <v>6.8</v>
      </c>
      <c r="D115" s="35">
        <v>3</v>
      </c>
      <c r="E115" s="35">
        <v>5.5</v>
      </c>
      <c r="F115" s="35">
        <v>2.1</v>
      </c>
      <c r="G115" s="33" t="s">
        <v>13</v>
      </c>
    </row>
    <row r="116" spans="2:7" x14ac:dyDescent="0.25">
      <c r="B116" s="35">
        <v>114</v>
      </c>
      <c r="C116" s="35">
        <v>5.7</v>
      </c>
      <c r="D116" s="35">
        <v>2.5</v>
      </c>
      <c r="E116" s="35">
        <v>5</v>
      </c>
      <c r="F116" s="35">
        <v>2</v>
      </c>
      <c r="G116" s="33" t="s">
        <v>13</v>
      </c>
    </row>
    <row r="117" spans="2:7" x14ac:dyDescent="0.25">
      <c r="B117" s="35">
        <v>115</v>
      </c>
      <c r="C117" s="35">
        <v>5.8</v>
      </c>
      <c r="D117" s="35">
        <v>2.8</v>
      </c>
      <c r="E117" s="35">
        <v>5.0999999999999996</v>
      </c>
      <c r="F117" s="35">
        <v>2.4</v>
      </c>
      <c r="G117" s="33" t="s">
        <v>13</v>
      </c>
    </row>
    <row r="118" spans="2:7" x14ac:dyDescent="0.25">
      <c r="B118" s="35">
        <v>116</v>
      </c>
      <c r="C118" s="35">
        <v>6.4</v>
      </c>
      <c r="D118" s="35">
        <v>3.2</v>
      </c>
      <c r="E118" s="35">
        <v>5.3</v>
      </c>
      <c r="F118" s="35">
        <v>2.2999999999999998</v>
      </c>
      <c r="G118" s="33" t="s">
        <v>13</v>
      </c>
    </row>
    <row r="119" spans="2:7" x14ac:dyDescent="0.25">
      <c r="B119" s="35">
        <v>117</v>
      </c>
      <c r="C119" s="35">
        <v>6.5</v>
      </c>
      <c r="D119" s="35">
        <v>3</v>
      </c>
      <c r="E119" s="35">
        <v>5.5</v>
      </c>
      <c r="F119" s="35">
        <v>1.8</v>
      </c>
      <c r="G119" s="33" t="s">
        <v>13</v>
      </c>
    </row>
    <row r="120" spans="2:7" x14ac:dyDescent="0.25">
      <c r="B120" s="35">
        <v>118</v>
      </c>
      <c r="C120" s="35">
        <v>7.7</v>
      </c>
      <c r="D120" s="35">
        <v>3.8</v>
      </c>
      <c r="E120" s="35">
        <v>6.7</v>
      </c>
      <c r="F120" s="35">
        <v>2.2000000000000002</v>
      </c>
      <c r="G120" s="33" t="s">
        <v>13</v>
      </c>
    </row>
    <row r="121" spans="2:7" x14ac:dyDescent="0.25">
      <c r="B121" s="35">
        <v>119</v>
      </c>
      <c r="C121" s="35">
        <v>7.7</v>
      </c>
      <c r="D121" s="35">
        <v>2.6</v>
      </c>
      <c r="E121" s="35">
        <v>6.9</v>
      </c>
      <c r="F121" s="35">
        <v>2.2999999999999998</v>
      </c>
      <c r="G121" s="33" t="s">
        <v>13</v>
      </c>
    </row>
    <row r="122" spans="2:7" x14ac:dyDescent="0.25">
      <c r="B122" s="35">
        <v>120</v>
      </c>
      <c r="C122" s="35">
        <v>6</v>
      </c>
      <c r="D122" s="35">
        <v>2.2000000000000002</v>
      </c>
      <c r="E122" s="35">
        <v>5</v>
      </c>
      <c r="F122" s="35">
        <v>1.5</v>
      </c>
      <c r="G122" s="33" t="s">
        <v>13</v>
      </c>
    </row>
    <row r="123" spans="2:7" x14ac:dyDescent="0.25">
      <c r="B123" s="35">
        <v>121</v>
      </c>
      <c r="C123" s="35">
        <v>6.9</v>
      </c>
      <c r="D123" s="35">
        <v>3.2</v>
      </c>
      <c r="E123" s="35">
        <v>5.7</v>
      </c>
      <c r="F123" s="35">
        <v>2.2999999999999998</v>
      </c>
      <c r="G123" s="33" t="s">
        <v>13</v>
      </c>
    </row>
    <row r="124" spans="2:7" x14ac:dyDescent="0.25">
      <c r="B124" s="35">
        <v>122</v>
      </c>
      <c r="C124" s="35">
        <v>5.6</v>
      </c>
      <c r="D124" s="35">
        <v>2.8</v>
      </c>
      <c r="E124" s="35">
        <v>4.9000000000000004</v>
      </c>
      <c r="F124" s="35">
        <v>2</v>
      </c>
      <c r="G124" s="33" t="s">
        <v>13</v>
      </c>
    </row>
    <row r="125" spans="2:7" x14ac:dyDescent="0.25">
      <c r="B125" s="35">
        <v>123</v>
      </c>
      <c r="C125" s="35">
        <v>7.7</v>
      </c>
      <c r="D125" s="35">
        <v>2.8</v>
      </c>
      <c r="E125" s="35">
        <v>6.7</v>
      </c>
      <c r="F125" s="35">
        <v>2</v>
      </c>
      <c r="G125" s="33" t="s">
        <v>13</v>
      </c>
    </row>
    <row r="126" spans="2:7" x14ac:dyDescent="0.25">
      <c r="B126" s="35">
        <v>124</v>
      </c>
      <c r="C126" s="35">
        <v>6.3</v>
      </c>
      <c r="D126" s="35">
        <v>2.7</v>
      </c>
      <c r="E126" s="35">
        <v>4.9000000000000004</v>
      </c>
      <c r="F126" s="35">
        <v>1.8</v>
      </c>
      <c r="G126" s="33" t="s">
        <v>13</v>
      </c>
    </row>
    <row r="127" spans="2:7" x14ac:dyDescent="0.25">
      <c r="B127" s="35">
        <v>125</v>
      </c>
      <c r="C127" s="35">
        <v>6.7</v>
      </c>
      <c r="D127" s="35">
        <v>3.3</v>
      </c>
      <c r="E127" s="35">
        <v>5.7</v>
      </c>
      <c r="F127" s="35">
        <v>2.1</v>
      </c>
      <c r="G127" s="33" t="s">
        <v>13</v>
      </c>
    </row>
    <row r="128" spans="2:7" x14ac:dyDescent="0.25">
      <c r="B128" s="35">
        <v>126</v>
      </c>
      <c r="C128" s="35">
        <v>7.2</v>
      </c>
      <c r="D128" s="35">
        <v>3.2</v>
      </c>
      <c r="E128" s="35">
        <v>6</v>
      </c>
      <c r="F128" s="35">
        <v>1.8</v>
      </c>
      <c r="G128" s="33" t="s">
        <v>13</v>
      </c>
    </row>
    <row r="129" spans="2:7" x14ac:dyDescent="0.25">
      <c r="B129" s="35">
        <v>127</v>
      </c>
      <c r="C129" s="35">
        <v>6.2</v>
      </c>
      <c r="D129" s="35">
        <v>2.8</v>
      </c>
      <c r="E129" s="35">
        <v>4.8</v>
      </c>
      <c r="F129" s="35">
        <v>1.8</v>
      </c>
      <c r="G129" s="33" t="s">
        <v>13</v>
      </c>
    </row>
    <row r="130" spans="2:7" x14ac:dyDescent="0.25">
      <c r="B130" s="35">
        <v>128</v>
      </c>
      <c r="C130" s="35">
        <v>6.1</v>
      </c>
      <c r="D130" s="35">
        <v>3</v>
      </c>
      <c r="E130" s="35">
        <v>4.9000000000000004</v>
      </c>
      <c r="F130" s="35">
        <v>1.8</v>
      </c>
      <c r="G130" s="33" t="s">
        <v>13</v>
      </c>
    </row>
    <row r="131" spans="2:7" x14ac:dyDescent="0.25">
      <c r="B131" s="35">
        <v>129</v>
      </c>
      <c r="C131" s="35">
        <v>6.4</v>
      </c>
      <c r="D131" s="35">
        <v>2.8</v>
      </c>
      <c r="E131" s="35">
        <v>5.6</v>
      </c>
      <c r="F131" s="35">
        <v>2.1</v>
      </c>
      <c r="G131" s="33" t="s">
        <v>13</v>
      </c>
    </row>
    <row r="132" spans="2:7" x14ac:dyDescent="0.25">
      <c r="B132" s="35">
        <v>130</v>
      </c>
      <c r="C132" s="35">
        <v>7.2</v>
      </c>
      <c r="D132" s="35">
        <v>3</v>
      </c>
      <c r="E132" s="35">
        <v>5.8</v>
      </c>
      <c r="F132" s="35">
        <v>1.6</v>
      </c>
      <c r="G132" s="33" t="s">
        <v>13</v>
      </c>
    </row>
    <row r="133" spans="2:7" x14ac:dyDescent="0.25">
      <c r="B133" s="35">
        <v>131</v>
      </c>
      <c r="C133" s="35">
        <v>7.4</v>
      </c>
      <c r="D133" s="35">
        <v>2.8</v>
      </c>
      <c r="E133" s="35">
        <v>6.1</v>
      </c>
      <c r="F133" s="35">
        <v>1.9</v>
      </c>
      <c r="G133" s="33" t="s">
        <v>13</v>
      </c>
    </row>
    <row r="134" spans="2:7" x14ac:dyDescent="0.25">
      <c r="B134" s="35">
        <v>132</v>
      </c>
      <c r="C134" s="35">
        <v>7.9</v>
      </c>
      <c r="D134" s="35">
        <v>3.8</v>
      </c>
      <c r="E134" s="35">
        <v>6.4</v>
      </c>
      <c r="F134" s="35">
        <v>2</v>
      </c>
      <c r="G134" s="33" t="s">
        <v>13</v>
      </c>
    </row>
    <row r="135" spans="2:7" x14ac:dyDescent="0.25">
      <c r="B135" s="35">
        <v>133</v>
      </c>
      <c r="C135" s="35">
        <v>6.4</v>
      </c>
      <c r="D135" s="35">
        <v>2.8</v>
      </c>
      <c r="E135" s="35">
        <v>5.6</v>
      </c>
      <c r="F135" s="35">
        <v>2.2000000000000002</v>
      </c>
      <c r="G135" s="33" t="s">
        <v>13</v>
      </c>
    </row>
    <row r="136" spans="2:7" x14ac:dyDescent="0.25">
      <c r="B136" s="35">
        <v>134</v>
      </c>
      <c r="C136" s="35">
        <v>6.3</v>
      </c>
      <c r="D136" s="35">
        <v>2.8</v>
      </c>
      <c r="E136" s="35">
        <v>5.0999999999999996</v>
      </c>
      <c r="F136" s="35">
        <v>1.5</v>
      </c>
      <c r="G136" s="33" t="s">
        <v>13</v>
      </c>
    </row>
    <row r="137" spans="2:7" x14ac:dyDescent="0.25">
      <c r="B137" s="35">
        <v>135</v>
      </c>
      <c r="C137" s="35">
        <v>6.1</v>
      </c>
      <c r="D137" s="35">
        <v>2.6</v>
      </c>
      <c r="E137" s="35">
        <v>5.6</v>
      </c>
      <c r="F137" s="35">
        <v>1.4</v>
      </c>
      <c r="G137" s="33" t="s">
        <v>13</v>
      </c>
    </row>
    <row r="138" spans="2:7" x14ac:dyDescent="0.25">
      <c r="B138" s="35">
        <v>136</v>
      </c>
      <c r="C138" s="35">
        <v>7.7</v>
      </c>
      <c r="D138" s="35">
        <v>3</v>
      </c>
      <c r="E138" s="35">
        <v>6.1</v>
      </c>
      <c r="F138" s="35">
        <v>2.2999999999999998</v>
      </c>
      <c r="G138" s="33" t="s">
        <v>13</v>
      </c>
    </row>
    <row r="139" spans="2:7" x14ac:dyDescent="0.25">
      <c r="B139" s="35">
        <v>137</v>
      </c>
      <c r="C139" s="35">
        <v>6.3</v>
      </c>
      <c r="D139" s="35">
        <v>3.4</v>
      </c>
      <c r="E139" s="35">
        <v>5.6</v>
      </c>
      <c r="F139" s="35">
        <v>2.4</v>
      </c>
      <c r="G139" s="33" t="s">
        <v>13</v>
      </c>
    </row>
    <row r="140" spans="2:7" x14ac:dyDescent="0.25">
      <c r="B140" s="35">
        <v>138</v>
      </c>
      <c r="C140" s="35">
        <v>6.4</v>
      </c>
      <c r="D140" s="35">
        <v>3.1</v>
      </c>
      <c r="E140" s="35">
        <v>5.5</v>
      </c>
      <c r="F140" s="35">
        <v>1.8</v>
      </c>
      <c r="G140" s="33" t="s">
        <v>13</v>
      </c>
    </row>
    <row r="141" spans="2:7" x14ac:dyDescent="0.25">
      <c r="B141" s="35">
        <v>139</v>
      </c>
      <c r="C141" s="35">
        <v>6</v>
      </c>
      <c r="D141" s="35">
        <v>3</v>
      </c>
      <c r="E141" s="35">
        <v>4.8</v>
      </c>
      <c r="F141" s="35">
        <v>1.8</v>
      </c>
      <c r="G141" s="33" t="s">
        <v>13</v>
      </c>
    </row>
    <row r="142" spans="2:7" x14ac:dyDescent="0.25">
      <c r="B142" s="35">
        <v>140</v>
      </c>
      <c r="C142" s="35">
        <v>6.9</v>
      </c>
      <c r="D142" s="35">
        <v>3.1</v>
      </c>
      <c r="E142" s="35">
        <v>5.4</v>
      </c>
      <c r="F142" s="35">
        <v>2.1</v>
      </c>
      <c r="G142" s="33" t="s">
        <v>13</v>
      </c>
    </row>
    <row r="143" spans="2:7" x14ac:dyDescent="0.25">
      <c r="B143" s="35">
        <v>141</v>
      </c>
      <c r="C143" s="35">
        <v>6.7</v>
      </c>
      <c r="D143" s="35">
        <v>3.1</v>
      </c>
      <c r="E143" s="35">
        <v>5.6</v>
      </c>
      <c r="F143" s="35">
        <v>2.4</v>
      </c>
      <c r="G143" s="33" t="s">
        <v>13</v>
      </c>
    </row>
    <row r="144" spans="2:7" x14ac:dyDescent="0.25">
      <c r="B144" s="35">
        <v>142</v>
      </c>
      <c r="C144" s="35">
        <v>6.9</v>
      </c>
      <c r="D144" s="35">
        <v>3.1</v>
      </c>
      <c r="E144" s="35">
        <v>5.0999999999999996</v>
      </c>
      <c r="F144" s="35">
        <v>2.2999999999999998</v>
      </c>
      <c r="G144" s="33" t="s">
        <v>13</v>
      </c>
    </row>
    <row r="145" spans="2:7" x14ac:dyDescent="0.25">
      <c r="B145" s="35">
        <v>143</v>
      </c>
      <c r="C145" s="35">
        <v>5.8</v>
      </c>
      <c r="D145" s="35">
        <v>2.7</v>
      </c>
      <c r="E145" s="35">
        <v>5.0999999999999996</v>
      </c>
      <c r="F145" s="35">
        <v>1.9</v>
      </c>
      <c r="G145" s="33" t="s">
        <v>13</v>
      </c>
    </row>
    <row r="146" spans="2:7" x14ac:dyDescent="0.25">
      <c r="B146" s="35">
        <v>144</v>
      </c>
      <c r="C146" s="35">
        <v>6.8</v>
      </c>
      <c r="D146" s="35">
        <v>3.2</v>
      </c>
      <c r="E146" s="35">
        <v>5.9</v>
      </c>
      <c r="F146" s="35">
        <v>2.2999999999999998</v>
      </c>
      <c r="G146" s="33" t="s">
        <v>13</v>
      </c>
    </row>
    <row r="147" spans="2:7" x14ac:dyDescent="0.25">
      <c r="B147" s="35">
        <v>145</v>
      </c>
      <c r="C147" s="35">
        <v>6.7</v>
      </c>
      <c r="D147" s="35">
        <v>3.3</v>
      </c>
      <c r="E147" s="35">
        <v>5.7</v>
      </c>
      <c r="F147" s="35">
        <v>2.5</v>
      </c>
      <c r="G147" s="33" t="s">
        <v>13</v>
      </c>
    </row>
    <row r="148" spans="2:7" x14ac:dyDescent="0.25">
      <c r="B148" s="35">
        <v>146</v>
      </c>
      <c r="C148" s="35">
        <v>6.7</v>
      </c>
      <c r="D148" s="35">
        <v>3</v>
      </c>
      <c r="E148" s="35">
        <v>5.2</v>
      </c>
      <c r="F148" s="35">
        <v>2.2999999999999998</v>
      </c>
      <c r="G148" s="42" t="s">
        <v>13</v>
      </c>
    </row>
    <row r="149" spans="2:7" x14ac:dyDescent="0.25">
      <c r="B149" s="35">
        <v>147</v>
      </c>
      <c r="C149" s="35">
        <v>6.3</v>
      </c>
      <c r="D149" s="35">
        <v>2.5</v>
      </c>
      <c r="E149" s="35">
        <v>5</v>
      </c>
      <c r="F149" s="35">
        <v>1.9</v>
      </c>
      <c r="G149" s="33" t="s">
        <v>13</v>
      </c>
    </row>
    <row r="150" spans="2:7" x14ac:dyDescent="0.25">
      <c r="B150" s="35">
        <v>148</v>
      </c>
      <c r="C150" s="35">
        <v>6.5</v>
      </c>
      <c r="D150" s="35">
        <v>3</v>
      </c>
      <c r="E150" s="35">
        <v>5.2</v>
      </c>
      <c r="F150" s="35">
        <v>2</v>
      </c>
      <c r="G150" s="33" t="s">
        <v>13</v>
      </c>
    </row>
    <row r="151" spans="2:7" x14ac:dyDescent="0.25">
      <c r="B151" s="35">
        <v>149</v>
      </c>
      <c r="C151" s="35">
        <v>6.2</v>
      </c>
      <c r="D151" s="35">
        <v>3.4</v>
      </c>
      <c r="E151" s="35">
        <v>5.4</v>
      </c>
      <c r="F151" s="35">
        <v>2.2999999999999998</v>
      </c>
      <c r="G151" s="33" t="s">
        <v>13</v>
      </c>
    </row>
    <row r="152" spans="2:7" ht="15.75" thickBot="1" x14ac:dyDescent="0.3">
      <c r="B152" s="36">
        <v>150</v>
      </c>
      <c r="C152" s="36">
        <v>5.9</v>
      </c>
      <c r="D152" s="36">
        <v>3</v>
      </c>
      <c r="E152" s="36">
        <v>5.0999999999999996</v>
      </c>
      <c r="F152" s="36">
        <v>1.8</v>
      </c>
      <c r="G152" s="34" t="s">
        <v>13</v>
      </c>
    </row>
  </sheetData>
  <mergeCells count="4">
    <mergeCell ref="J2:N2"/>
    <mergeCell ref="J9:N9"/>
    <mergeCell ref="J16:N16"/>
    <mergeCell ref="J23:N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Tablas de datos</vt:lpstr>
      <vt:lpstr>Estadisticas descriptivas</vt:lpstr>
      <vt:lpstr>Est.d Agrupadas</vt:lpstr>
      <vt:lpstr>Histogramas</vt:lpstr>
      <vt:lpstr>Cajas y bigotes</vt:lpstr>
      <vt:lpstr>Correlación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Arredondo</dc:creator>
  <cp:lastModifiedBy>Esteban Arredondo</cp:lastModifiedBy>
  <cp:revision>12</cp:revision>
  <dcterms:created xsi:type="dcterms:W3CDTF">2026-02-21T18:43:05Z</dcterms:created>
  <dcterms:modified xsi:type="dcterms:W3CDTF">2026-02-22T21:33:14Z</dcterms:modified>
</cp:coreProperties>
</file>